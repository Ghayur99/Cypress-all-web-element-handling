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Validation" sheetId="1" state="visible" r:id="rId3"/>
    <sheet name="Input" sheetId="2" state="visible" r:id="rId4"/>
    <sheet name="Volumes" sheetId="3" state="visible" r:id="rId5"/>
    <sheet name="H2O Adjust" sheetId="4" state="visible" r:id="rId6"/>
    <sheet name="ReceiptPoints" sheetId="5" state="visible" r:id="rId7"/>
    <sheet name="FlowCal Data" sheetId="6" state="visible" r:id="rId8"/>
    <sheet name="Envelope" sheetId="7" state="visible" r:id="rId9"/>
    <sheet name="FlowCal Raw" sheetId="8" state="visible" r:id="rId10"/>
  </sheets>
  <definedNames>
    <definedName function="false" hidden="false" name="Adjust" vbProcedure="false">'H2O Adjust'!$A$2:$M$66</definedName>
    <definedName function="false" hidden="false" name="Buyback" vbProcedure="false">Volumes!$A$3:$C$38</definedName>
    <definedName function="false" hidden="false" name="ClrRan" vbProcedure="false">Envelope!$B$2:$BX$37</definedName>
    <definedName function="false" hidden="false" name="CmpOut" vbProcedure="false">#REF!</definedName>
    <definedName function="false" hidden="false" name="Comps" vbProcedure="false">Input!$B$4:$CH$16</definedName>
    <definedName function="false" hidden="false" name="Coms" vbProcedure="false">Input!$B$4:$CW$17</definedName>
    <definedName function="false" hidden="false" name="Disch" vbProcedure="false">Volumes!$I$3:$L$36</definedName>
    <definedName function="false" hidden="false" name="Eff" vbProcedure="false">Volumes!$X$5:$X$15</definedName>
    <definedName function="false" hidden="false" name="Envl" vbProcedure="false">Envelope!$B$1:$BH$37</definedName>
    <definedName function="false" hidden="false" name="EnvOut" vbProcedure="false">Validation!$L$5:$L$31</definedName>
    <definedName function="false" hidden="false" name="Extended" vbProcedure="false">Input!$B$41:$BN$68</definedName>
    <definedName function="false" hidden="false" name="FlowCal" vbProcedure="false">'FlowCal Data'!$A$2:$P$122</definedName>
    <definedName function="false" hidden="false" name="Fuel" vbProcedure="false">Volumes!$E$2:$G$21</definedName>
    <definedName function="false" hidden="false" name="Hypo" vbProcedure="false">Validation!$A$2:$G$77</definedName>
    <definedName function="false" hidden="false" name="Output" vbProcedure="false">#REF!</definedName>
    <definedName function="false" hidden="false" name="PFuel" vbProcedure="false">Volumes!$N$3:$P$15</definedName>
    <definedName function="false" hidden="false" name="RawData" vbProcedure="false">ReceiptPoints!$A$2:$P$148</definedName>
    <definedName function="false" hidden="false" name="VolOut" vbProcedure="false">#REF!</definedName>
    <definedName function="false" hidden="false" name="WorkData" vbProcedure="false">'FlowCal Data'!$A$2:$P$150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<sst xmlns="http://schemas.openxmlformats.org/spreadsheetml/2006/main" count="4291" uniqueCount="576">
  <si>
    <t xml:space="preserve">Meter</t>
  </si>
  <si>
    <t xml:space="preserve">Pressure, psia</t>
  </si>
  <si>
    <t xml:space="preserve">Temperature, °F</t>
  </si>
  <si>
    <t xml:space="preserve">Dew Point, °F</t>
  </si>
  <si>
    <t xml:space="preserve">MW</t>
  </si>
  <si>
    <t xml:space="preserve">Density</t>
  </si>
  <si>
    <t xml:space="preserve">Hypo</t>
  </si>
  <si>
    <t xml:space="preserve">Is 2ϕ</t>
  </si>
  <si>
    <t xml:space="preserve">Volume</t>
  </si>
  <si>
    <t xml:space="preserve">2.10.10</t>
  </si>
  <si>
    <t xml:space="preserve">Suspect samples</t>
  </si>
  <si>
    <t xml:space="preserve">2.10.5</t>
  </si>
  <si>
    <t xml:space="preserve">2.10.6</t>
  </si>
  <si>
    <t xml:space="preserve">2.10.7</t>
  </si>
  <si>
    <t xml:space="preserve">2.16.1</t>
  </si>
  <si>
    <t xml:space="preserve">2.17.2</t>
  </si>
  <si>
    <t xml:space="preserve">lb/ft3</t>
  </si>
  <si>
    <t xml:space="preserve">lb/gal</t>
  </si>
  <si>
    <t xml:space="preserve">C6</t>
  </si>
  <si>
    <t xml:space="preserve">C7</t>
  </si>
  <si>
    <t xml:space="preserve">C8</t>
  </si>
  <si>
    <t xml:space="preserve">Adjust for Water</t>
  </si>
  <si>
    <t xml:space="preserve">2.18.2</t>
  </si>
  <si>
    <t xml:space="preserve">2.18.3</t>
  </si>
  <si>
    <t xml:space="preserve">CO2</t>
  </si>
  <si>
    <t xml:space="preserve">N2</t>
  </si>
  <si>
    <t xml:space="preserve">C1</t>
  </si>
  <si>
    <t xml:space="preserve">C2</t>
  </si>
  <si>
    <t xml:space="preserve">C3</t>
  </si>
  <si>
    <t xml:space="preserve">IC4</t>
  </si>
  <si>
    <t xml:space="preserve">NC4</t>
  </si>
  <si>
    <t xml:space="preserve">IC5</t>
  </si>
  <si>
    <t xml:space="preserve">NC5</t>
  </si>
  <si>
    <t xml:space="preserve">C6+</t>
  </si>
  <si>
    <t xml:space="preserve">Pressure</t>
  </si>
  <si>
    <t xml:space="preserve">Temperature</t>
  </si>
  <si>
    <t xml:space="preserve">Validation Input</t>
  </si>
  <si>
    <t xml:space="preserve">1.01.1</t>
  </si>
  <si>
    <t xml:space="preserve">1.01.2</t>
  </si>
  <si>
    <t xml:space="preserve">1.01.3</t>
  </si>
  <si>
    <t xml:space="preserve">1.01.4</t>
  </si>
  <si>
    <t xml:space="preserve">1.01.5</t>
  </si>
  <si>
    <t xml:space="preserve">1.01.6</t>
  </si>
  <si>
    <t xml:space="preserve">1.01.7</t>
  </si>
  <si>
    <t xml:space="preserve">1.01.8</t>
  </si>
  <si>
    <t xml:space="preserve">1.01.9</t>
  </si>
  <si>
    <t xml:space="preserve">1.10.1</t>
  </si>
  <si>
    <t xml:space="preserve">2.02.6</t>
  </si>
  <si>
    <t xml:space="preserve">2.02.7</t>
  </si>
  <si>
    <t xml:space="preserve">2.03.1</t>
  </si>
  <si>
    <t xml:space="preserve">2.03.2</t>
  </si>
  <si>
    <t xml:space="preserve">2.03.3</t>
  </si>
  <si>
    <t xml:space="preserve">2.03.4</t>
  </si>
  <si>
    <t xml:space="preserve">2.03.5</t>
  </si>
  <si>
    <t xml:space="preserve">2.03.6</t>
  </si>
  <si>
    <t xml:space="preserve">2.03.7</t>
  </si>
  <si>
    <t xml:space="preserve">2.03.8</t>
  </si>
  <si>
    <t xml:space="preserve">2.03.9</t>
  </si>
  <si>
    <t xml:space="preserve">2.05.1</t>
  </si>
  <si>
    <t xml:space="preserve">2.05.5</t>
  </si>
  <si>
    <t xml:space="preserve">2.07.1</t>
  </si>
  <si>
    <t xml:space="preserve">2.07.2</t>
  </si>
  <si>
    <t xml:space="preserve">2.10.1</t>
  </si>
  <si>
    <t xml:space="preserve">2.10.11</t>
  </si>
  <si>
    <t xml:space="preserve">2.10.12</t>
  </si>
  <si>
    <t xml:space="preserve">2.10.13</t>
  </si>
  <si>
    <t xml:space="preserve">2.10.2</t>
  </si>
  <si>
    <t xml:space="preserve">2.10.4</t>
  </si>
  <si>
    <t xml:space="preserve">2.10.8</t>
  </si>
  <si>
    <t xml:space="preserve">2.10.9</t>
  </si>
  <si>
    <t xml:space="preserve">2.11.2</t>
  </si>
  <si>
    <t xml:space="preserve">2.11.3</t>
  </si>
  <si>
    <t xml:space="preserve">2.12.1</t>
  </si>
  <si>
    <t xml:space="preserve">2.12.2</t>
  </si>
  <si>
    <t xml:space="preserve">2.13.1</t>
  </si>
  <si>
    <t xml:space="preserve">2.13.2</t>
  </si>
  <si>
    <t xml:space="preserve">2.13.3</t>
  </si>
  <si>
    <t xml:space="preserve">2.14.1</t>
  </si>
  <si>
    <t xml:space="preserve">2.15.1</t>
  </si>
  <si>
    <t xml:space="preserve">2.15.2</t>
  </si>
  <si>
    <t xml:space="preserve">2.15.3</t>
  </si>
  <si>
    <t xml:space="preserve">2.17.1</t>
  </si>
  <si>
    <t xml:space="preserve">2.17.3</t>
  </si>
  <si>
    <t xml:space="preserve">2.17.4</t>
  </si>
  <si>
    <t xml:space="preserve">2.17.5</t>
  </si>
  <si>
    <t xml:space="preserve">2.17.6</t>
  </si>
  <si>
    <t xml:space="preserve">2.17.7</t>
  </si>
  <si>
    <t xml:space="preserve">2.18.1</t>
  </si>
  <si>
    <t xml:space="preserve">Model Input</t>
  </si>
  <si>
    <t xml:space="preserve">Hypo1</t>
  </si>
  <si>
    <t xml:space="preserve">Hypo2</t>
  </si>
  <si>
    <t xml:space="preserve">Hypo3</t>
  </si>
  <si>
    <t xml:space="preserve">Hypo4</t>
  </si>
  <si>
    <t xml:space="preserve">Hypo5</t>
  </si>
  <si>
    <t xml:space="preserve">Hypo6</t>
  </si>
  <si>
    <t xml:space="preserve">Hypo7</t>
  </si>
  <si>
    <t xml:space="preserve">Hypo8</t>
  </si>
  <si>
    <t xml:space="preserve">Hypo9</t>
  </si>
  <si>
    <t xml:space="preserve">Hypo10</t>
  </si>
  <si>
    <t xml:space="preserve">Hypo11</t>
  </si>
  <si>
    <t xml:space="preserve">Hypo12</t>
  </si>
  <si>
    <t xml:space="preserve">Hypo13</t>
  </si>
  <si>
    <t xml:space="preserve">Hypo14</t>
  </si>
  <si>
    <t xml:space="preserve">Hypo15</t>
  </si>
  <si>
    <t xml:space="preserve">BuyBack</t>
  </si>
  <si>
    <t xml:space="preserve">Discharge P,T</t>
  </si>
  <si>
    <t xml:space="preserve">Plant Fuel</t>
  </si>
  <si>
    <t xml:space="preserve">Efficiencies</t>
  </si>
  <si>
    <t xml:space="preserve">3.00.2</t>
  </si>
  <si>
    <t xml:space="preserve">8.00.3</t>
  </si>
  <si>
    <t xml:space="preserve">5.00.6</t>
  </si>
  <si>
    <t xml:space="preserve">10.00.1</t>
  </si>
  <si>
    <t xml:space="preserve">10.00.2</t>
  </si>
  <si>
    <t xml:space="preserve">10.00.3</t>
  </si>
  <si>
    <t xml:space="preserve">10.00.4</t>
  </si>
  <si>
    <t xml:space="preserve">3.00.5</t>
  </si>
  <si>
    <t xml:space="preserve">8.00.7</t>
  </si>
  <si>
    <t xml:space="preserve">Pliny The Elder Compressor Discharge</t>
  </si>
  <si>
    <t xml:space="preserve">5.00.7</t>
  </si>
  <si>
    <t xml:space="preserve">EPNG Check MTR #1</t>
  </si>
  <si>
    <t xml:space="preserve">EPNG Check MTR #2</t>
  </si>
  <si>
    <t xml:space="preserve">ONEOK Check MTR #1</t>
  </si>
  <si>
    <t xml:space="preserve">ONEOK Check MTR #2</t>
  </si>
  <si>
    <t xml:space="preserve">3.00.6</t>
  </si>
  <si>
    <t xml:space="preserve">8.00.10</t>
  </si>
  <si>
    <t xml:space="preserve">Bluto Compressor Discharge</t>
  </si>
  <si>
    <t xml:space="preserve">5.00.11</t>
  </si>
  <si>
    <t xml:space="preserve">3.00.7</t>
  </si>
  <si>
    <t xml:space="preserve">8.00.11</t>
  </si>
  <si>
    <t xml:space="preserve">Cypress Compressor Discharge</t>
  </si>
  <si>
    <t xml:space="preserve">5.00.18</t>
  </si>
  <si>
    <t xml:space="preserve">3.00.8</t>
  </si>
  <si>
    <t xml:space="preserve">8.00.15</t>
  </si>
  <si>
    <t xml:space="preserve">Nailed It A Compressor Discharge</t>
  </si>
  <si>
    <t xml:space="preserve">5.00.19</t>
  </si>
  <si>
    <t xml:space="preserve">3.00.9</t>
  </si>
  <si>
    <t xml:space="preserve">8.00.16</t>
  </si>
  <si>
    <t xml:space="preserve">Welcome to Golden Compressor Discharge</t>
  </si>
  <si>
    <t xml:space="preserve">3.00.11</t>
  </si>
  <si>
    <t xml:space="preserve">8.00.18</t>
  </si>
  <si>
    <t xml:space="preserve">Emma Compressor Discharge</t>
  </si>
  <si>
    <t xml:space="preserve">3.00.12</t>
  </si>
  <si>
    <t xml:space="preserve">8.00.19</t>
  </si>
  <si>
    <t xml:space="preserve">Oasis Compressor Discharge</t>
  </si>
  <si>
    <t xml:space="preserve">3.00.15</t>
  </si>
  <si>
    <t xml:space="preserve">8.00.21</t>
  </si>
  <si>
    <t xml:space="preserve">Cypress 33 B Discharge</t>
  </si>
  <si>
    <t xml:space="preserve">3.00.16</t>
  </si>
  <si>
    <t xml:space="preserve">8.00.22</t>
  </si>
  <si>
    <t xml:space="preserve">Lowe Compressor Discharge</t>
  </si>
  <si>
    <t xml:space="preserve">3.00.4</t>
  </si>
  <si>
    <t xml:space="preserve">8.00.23</t>
  </si>
  <si>
    <t xml:space="preserve">Tribute Compressor Discharge</t>
  </si>
  <si>
    <t xml:space="preserve">3.00.19</t>
  </si>
  <si>
    <t xml:space="preserve">8.00.20</t>
  </si>
  <si>
    <t xml:space="preserve">Nailed It B Compressor Discharge</t>
  </si>
  <si>
    <t xml:space="preserve">4.01.1</t>
  </si>
  <si>
    <t xml:space="preserve">3.00.13</t>
  </si>
  <si>
    <t xml:space="preserve">3.00.17</t>
  </si>
  <si>
    <t xml:space="preserve">3.00.14</t>
  </si>
  <si>
    <t xml:space="preserve">3.00.21</t>
  </si>
  <si>
    <t xml:space="preserve">Enlk</t>
  </si>
  <si>
    <t xml:space="preserve">T°C</t>
  </si>
  <si>
    <r>
      <rPr>
        <sz val="11"/>
        <color rgb="FF000000"/>
        <rFont val="Calibri"/>
        <family val="0"/>
        <charset val="1"/>
      </rPr>
      <t xml:space="preserve">VP</t>
    </r>
    <r>
      <rPr>
        <vertAlign val="subscript"/>
        <sz val="11"/>
        <color rgb="FF000000"/>
        <rFont val="Calibri"/>
        <family val="0"/>
        <charset val="1"/>
      </rPr>
      <t xml:space="preserve">H2O</t>
    </r>
  </si>
  <si>
    <t xml:space="preserve">PSIA</t>
  </si>
  <si>
    <t xml:space="preserve">H2O Vapor</t>
  </si>
  <si>
    <t xml:space="preserve">water volume</t>
  </si>
  <si>
    <t xml:space="preserve">Antoine's Equation for Water</t>
  </si>
  <si>
    <t xml:space="preserve">Log(P)= A - [B/(C+T)], Where</t>
  </si>
  <si>
    <t xml:space="preserve">A=</t>
  </si>
  <si>
    <t xml:space="preserve">B=</t>
  </si>
  <si>
    <t xml:space="preserve">C=</t>
  </si>
  <si>
    <t xml:space="preserve">T=</t>
  </si>
  <si>
    <r>
      <rPr>
        <sz val="11"/>
        <color rgb="FF000000"/>
        <rFont val="Calibri"/>
        <family val="0"/>
        <charset val="1"/>
      </rPr>
      <t xml:space="preserve">Temperator (°</t>
    </r>
    <r>
      <rPr>
        <sz val="9"/>
        <color rgb="FF000000"/>
        <rFont val="Calibri"/>
        <family val="0"/>
        <charset val="1"/>
      </rPr>
      <t xml:space="preserve">C)</t>
    </r>
  </si>
  <si>
    <t xml:space="preserve">vapor pressure of water @P,T using Antoine's equation</t>
  </si>
  <si>
    <t xml:space="preserve">the partial pressure of the water vapor is equal to the vapor pressure of water</t>
  </si>
  <si>
    <r>
      <rPr>
        <sz val="11"/>
        <color rgb="FF000000"/>
        <rFont val="Calibri"/>
        <family val="0"/>
        <charset val="1"/>
      </rPr>
      <t xml:space="preserve">VP</t>
    </r>
    <r>
      <rPr>
        <vertAlign val="subscript"/>
        <sz val="11"/>
        <color rgb="FF000000"/>
        <rFont val="Calibri"/>
        <family val="0"/>
        <charset val="1"/>
      </rPr>
      <t xml:space="preserve">H2O</t>
    </r>
    <r>
      <rPr>
        <sz val="11"/>
        <color rgb="FF000000"/>
        <rFont val="Calibri"/>
        <family val="0"/>
        <charset val="1"/>
      </rPr>
      <t xml:space="preserve"> / PSIA</t>
    </r>
  </si>
  <si>
    <t xml:space="preserve">the partial volume of the water is the partial pressure of the vapor</t>
  </si>
  <si>
    <t xml:space="preserve">Meter Number</t>
  </si>
  <si>
    <t xml:space="preserve">Meter Name</t>
  </si>
  <si>
    <t xml:space="preserve">Energy</t>
  </si>
  <si>
    <t xml:space="preserve">Temp</t>
  </si>
  <si>
    <t xml:space="preserve">ISOC4</t>
  </si>
  <si>
    <t xml:space="preserve">ISOC5</t>
  </si>
  <si>
    <t xml:space="preserve">Enlink</t>
  </si>
  <si>
    <t xml:space="preserve">From</t>
  </si>
  <si>
    <t xml:space="preserve">To</t>
  </si>
  <si>
    <t xml:space="preserve">DP</t>
  </si>
  <si>
    <t xml:space="preserve">Pulses</t>
  </si>
  <si>
    <t xml:space="preserve">Flow Time</t>
  </si>
  <si>
    <t xml:space="preserve">AverageExtension orRaw Volume</t>
  </si>
  <si>
    <t xml:space="preserve">C Primeor Flowing Condition Factor</t>
  </si>
  <si>
    <t xml:space="preserve">FPV Factor</t>
  </si>
  <si>
    <t xml:space="preserve">Reserved/Not supported</t>
  </si>
  <si>
    <t xml:space="preserve">Leading/Trailing</t>
  </si>
  <si>
    <t xml:space="preserve">Meter Type</t>
  </si>
  <si>
    <t xml:space="preserve">Meter Make</t>
  </si>
  <si>
    <t xml:space="preserve">Reserved/Not Supported</t>
  </si>
  <si>
    <t xml:space="preserve">Meter Class</t>
  </si>
  <si>
    <t xml:space="preserve">Serial Number</t>
  </si>
  <si>
    <t xml:space="preserve">Delivery Date</t>
  </si>
  <si>
    <t xml:space="preserve">Contract Day</t>
  </si>
  <si>
    <t xml:space="preserve">Contract Hour</t>
  </si>
  <si>
    <t xml:space="preserve">Plate Diameter</t>
  </si>
  <si>
    <t xml:space="preserve">Plate Ref. Temp.</t>
  </si>
  <si>
    <t xml:space="preserve">Plate material</t>
  </si>
  <si>
    <t xml:space="preserve">Tube Diameter</t>
  </si>
  <si>
    <t xml:space="preserve">Tube Ref. Temp.</t>
  </si>
  <si>
    <t xml:space="preserve">Tube Material</t>
  </si>
  <si>
    <t xml:space="preserve">Static Pressure Type</t>
  </si>
  <si>
    <t xml:space="preserve">Tap Location</t>
  </si>
  <si>
    <t xml:space="preserve">Tap Type</t>
  </si>
  <si>
    <t xml:space="preserve">K Factor</t>
  </si>
  <si>
    <t xml:space="preserve">Meter Factor</t>
  </si>
  <si>
    <t xml:space="preserve">Fixed Parameter</t>
  </si>
  <si>
    <t xml:space="preserve">Power Source</t>
  </si>
  <si>
    <t xml:space="preserve">Fitting Type</t>
  </si>
  <si>
    <t xml:space="preserve">Live Analysis</t>
  </si>
  <si>
    <t xml:space="preserve">Live heating value</t>
  </si>
  <si>
    <t xml:space="preserve">Live Gravity</t>
  </si>
  <si>
    <t xml:space="preserve">Live Temp.</t>
  </si>
  <si>
    <t xml:space="preserve">DP or Pulses Hi Alarm</t>
  </si>
  <si>
    <t xml:space="preserve">DP or Pulses Lo Alarm</t>
  </si>
  <si>
    <t xml:space="preserve">DP or Pulses Hi Calibrate</t>
  </si>
  <si>
    <t xml:space="preserve">DP or Pulses Lo Calibrate</t>
  </si>
  <si>
    <t xml:space="preserve">DP or Pulses Hi Xducer</t>
  </si>
  <si>
    <t xml:space="preserve">DP or Pulses Lo Xducer</t>
  </si>
  <si>
    <t xml:space="preserve">SP Hi Alarm</t>
  </si>
  <si>
    <t xml:space="preserve">SP Lo Alarm</t>
  </si>
  <si>
    <t xml:space="preserve">SP Hi Calibrate</t>
  </si>
  <si>
    <t xml:space="preserve">SP Lo Calibrate</t>
  </si>
  <si>
    <t xml:space="preserve">SP Hi Xducer</t>
  </si>
  <si>
    <t xml:space="preserve">SP Lo Xducer</t>
  </si>
  <si>
    <t xml:space="preserve">Temp Hi Alarm</t>
  </si>
  <si>
    <t xml:space="preserve">Temp Lo Alarm</t>
  </si>
  <si>
    <t xml:space="preserve">Temp Hi Calibrate</t>
  </si>
  <si>
    <t xml:space="preserve">Temp Lo Calibrate</t>
  </si>
  <si>
    <t xml:space="preserve">Temp Hi Xducer</t>
  </si>
  <si>
    <t xml:space="preserve">Temp Lo Xducer</t>
  </si>
  <si>
    <t xml:space="preserve">Cutoff Alarm</t>
  </si>
  <si>
    <t xml:space="preserve">Backflow Alarm</t>
  </si>
  <si>
    <t xml:space="preserve">Pressure Base</t>
  </si>
  <si>
    <t xml:space="preserve">Temp. Base</t>
  </si>
  <si>
    <t xml:space="preserve">Atmos. Base</t>
  </si>
  <si>
    <t xml:space="preserve">Temp. Xmitter exists</t>
  </si>
  <si>
    <t xml:space="preserve">Pres. Xmitter Exists</t>
  </si>
  <si>
    <t xml:space="preserve">Calc method</t>
  </si>
  <si>
    <t xml:space="preserve">Z Method</t>
  </si>
  <si>
    <t xml:space="preserve">Default temp.</t>
  </si>
  <si>
    <t xml:space="preserve">FA</t>
  </si>
  <si>
    <t xml:space="preserve">FB</t>
  </si>
  <si>
    <t xml:space="preserve">FG</t>
  </si>
  <si>
    <t xml:space="preserve">FPV</t>
  </si>
  <si>
    <t xml:space="preserve">FR</t>
  </si>
  <si>
    <t xml:space="preserve">FT</t>
  </si>
  <si>
    <t xml:space="preserve">FWV</t>
  </si>
  <si>
    <t xml:space="preserve">FY</t>
  </si>
  <si>
    <t xml:space="preserve">Cold Start Date</t>
  </si>
  <si>
    <t xml:space="preserve">Warm Start Date</t>
  </si>
  <si>
    <t xml:space="preserve">Meter Access Date</t>
  </si>
  <si>
    <t xml:space="preserve">Altitude</t>
  </si>
  <si>
    <t xml:space="preserve">Latitude</t>
  </si>
  <si>
    <t xml:space="preserve">Longitude</t>
  </si>
  <si>
    <t xml:space="preserve">Measured Heat Value</t>
  </si>
  <si>
    <t xml:space="preserve">Specific Heat Ratio</t>
  </si>
  <si>
    <t xml:space="preserve">Viscosity</t>
  </si>
  <si>
    <t xml:space="preserve">Specific Gravity</t>
  </si>
  <si>
    <t xml:space="preserve">BTU Base</t>
  </si>
  <si>
    <t xml:space="preserve">Sample Date</t>
  </si>
  <si>
    <t xml:space="preserve">Sample Type</t>
  </si>
  <si>
    <t xml:space="preserve">Instrument Number</t>
  </si>
  <si>
    <t xml:space="preserve">Sample Temp.</t>
  </si>
  <si>
    <t xml:space="preserve">Sample Pres.</t>
  </si>
  <si>
    <t xml:space="preserve">Sample Count</t>
  </si>
  <si>
    <t xml:space="preserve">Sample Tech.</t>
  </si>
  <si>
    <t xml:space="preserve">Field Remarks</t>
  </si>
  <si>
    <t xml:space="preserve">Analysis Tech.</t>
  </si>
  <si>
    <t xml:space="preserve">Office Remarks</t>
  </si>
  <si>
    <t xml:space="preserve">NEOC5</t>
  </si>
  <si>
    <t xml:space="preserve">C9</t>
  </si>
  <si>
    <t xml:space="preserve">C10</t>
  </si>
  <si>
    <t xml:space="preserve">Ar</t>
  </si>
  <si>
    <t xml:space="preserve">CO</t>
  </si>
  <si>
    <t xml:space="preserve">H2</t>
  </si>
  <si>
    <t xml:space="preserve">O2</t>
  </si>
  <si>
    <t xml:space="preserve">H2O</t>
  </si>
  <si>
    <t xml:space="preserve">H2S</t>
  </si>
  <si>
    <t xml:space="preserve">He</t>
  </si>
  <si>
    <t xml:space="preserve">Alternate Meter Number</t>
  </si>
  <si>
    <t xml:space="preserve">Division</t>
  </si>
  <si>
    <t xml:space="preserve">State</t>
  </si>
  <si>
    <t xml:space="preserve">Info Route Code</t>
  </si>
  <si>
    <t xml:space="preserve">Meter Phone</t>
  </si>
  <si>
    <t xml:space="preserve">Old Station Name</t>
  </si>
  <si>
    <t xml:space="preserve">Poll Code</t>
  </si>
  <si>
    <t xml:space="preserve">Chart or EFM</t>
  </si>
  <si>
    <t xml:space="preserve">Rotation</t>
  </si>
  <si>
    <t xml:space="preserve">Customer Meter Number</t>
  </si>
  <si>
    <t xml:space="preserve">Pulse Index Start</t>
  </si>
  <si>
    <t xml:space="preserve">Pulse Index End</t>
  </si>
  <si>
    <t xml:space="preserve">Raw Volume Index Start</t>
  </si>
  <si>
    <t xml:space="preserve">Raw Volume Index End</t>
  </si>
  <si>
    <t xml:space="preserve">Volume Index Start</t>
  </si>
  <si>
    <t xml:space="preserve">Volume Index End</t>
  </si>
  <si>
    <t xml:space="preserve">Pipe Length</t>
  </si>
  <si>
    <t xml:space="preserve">Numeric UserField1</t>
  </si>
  <si>
    <t xml:space="preserve">Numeric UserField2</t>
  </si>
  <si>
    <t xml:space="preserve">Numeric UserField 3</t>
  </si>
  <si>
    <t xml:space="preserve">Numeric UserField4</t>
  </si>
  <si>
    <t xml:space="preserve">Numeric UserField5</t>
  </si>
  <si>
    <t xml:space="preserve">Numeric UserField 6</t>
  </si>
  <si>
    <t xml:space="preserve">Numeric UserField7</t>
  </si>
  <si>
    <t xml:space="preserve">Numeric UserField 8</t>
  </si>
  <si>
    <t xml:space="preserve">String UserField1</t>
  </si>
  <si>
    <t xml:space="preserve">String UserField2</t>
  </si>
  <si>
    <t xml:space="preserve">Water VaporCalculation Method</t>
  </si>
  <si>
    <t xml:space="preserve">WaterVaporTechnique</t>
  </si>
  <si>
    <t xml:space="preserve">Mass</t>
  </si>
  <si>
    <t xml:space="preserve">Mass Index Start</t>
  </si>
  <si>
    <t xml:space="preserve">Mass Index End</t>
  </si>
  <si>
    <t xml:space="preserve">EFM Brand</t>
  </si>
  <si>
    <t xml:space="preserve">EFM Model</t>
  </si>
  <si>
    <t xml:space="preserve">EFM SW Version</t>
  </si>
  <si>
    <t xml:space="preserve">Gateway 22-2H</t>
  </si>
  <si>
    <t xml:space="preserve">L</t>
  </si>
  <si>
    <t xml:space="preserve">O</t>
  </si>
  <si>
    <t xml:space="preserve">Custody</t>
  </si>
  <si>
    <t xml:space="preserve">S</t>
  </si>
  <si>
    <t xml:space="preserve">C</t>
  </si>
  <si>
    <t xml:space="preserve">A</t>
  </si>
  <si>
    <t xml:space="preserve">U</t>
  </si>
  <si>
    <t xml:space="preserve">F</t>
  </si>
  <si>
    <t xml:space="preserve">N</t>
  </si>
  <si>
    <t xml:space="preserve">Y</t>
  </si>
  <si>
    <t xml:space="preserve">D</t>
  </si>
  <si>
    <t xml:space="preserve">E</t>
  </si>
  <si>
    <t xml:space="preserve">2104497-022</t>
  </si>
  <si>
    <t xml:space="preserve">Gateway 38-2H</t>
  </si>
  <si>
    <t xml:space="preserve">2105298-013</t>
  </si>
  <si>
    <t xml:space="preserve">Allman 24-68</t>
  </si>
  <si>
    <t xml:space="preserve">5030_MIB2_B1</t>
  </si>
  <si>
    <t xml:space="preserve">ADRIAN NEVAREZ</t>
  </si>
  <si>
    <t xml:space="preserve">H2O Mol% : 1.750 ; Wt% : 1.523</t>
  </si>
  <si>
    <t xml:space="preserve">ANB</t>
  </si>
  <si>
    <t xml:space="preserve">Johnny Cash 23-2H</t>
  </si>
  <si>
    <t xml:space="preserve">2104497-023</t>
  </si>
  <si>
    <t xml:space="preserve">Muddy Waters 30-2H</t>
  </si>
  <si>
    <t xml:space="preserve">H2O Mol% : 1.750 ; Wt% : 1.508</t>
  </si>
  <si>
    <t xml:space="preserve">JAS</t>
  </si>
  <si>
    <t xml:space="preserve">BB King 32-2H</t>
  </si>
  <si>
    <t xml:space="preserve">5030_GC11</t>
  </si>
  <si>
    <t xml:space="preserve">H2O Mol% : 1.750 ; Wt% : 1.534</t>
  </si>
  <si>
    <t xml:space="preserve">Santana 29-2H</t>
  </si>
  <si>
    <t xml:space="preserve">ZACH GUTHRIE</t>
  </si>
  <si>
    <t xml:space="preserve">H2O Mol% : 1.750 ; Wt% : 1.467</t>
  </si>
  <si>
    <t xml:space="preserve">MGN</t>
  </si>
  <si>
    <t xml:space="preserve">2105298-009</t>
  </si>
  <si>
    <t xml:space="preserve">Orbison 28-6H</t>
  </si>
  <si>
    <t xml:space="preserve">Johnny Cash 2</t>
  </si>
  <si>
    <t xml:space="preserve">H2O Mol% : 1.750 ; Wt% : 1.528</t>
  </si>
  <si>
    <t xml:space="preserve">CDW</t>
  </si>
  <si>
    <t xml:space="preserve">2105805-010</t>
  </si>
  <si>
    <t xml:space="preserve">Cypress 33 A Sales</t>
  </si>
  <si>
    <t xml:space="preserve">RIGO JUAREZ</t>
  </si>
  <si>
    <t xml:space="preserve">H2O Mol% : 1.750 ; Wt% : 1.429</t>
  </si>
  <si>
    <t xml:space="preserve">ARP</t>
  </si>
  <si>
    <t xml:space="preserve">2105864-014</t>
  </si>
  <si>
    <t xml:space="preserve">T</t>
  </si>
  <si>
    <t xml:space="preserve">G</t>
  </si>
  <si>
    <t xml:space="preserve">2105153-011</t>
  </si>
  <si>
    <t xml:space="preserve">Pinon CDP #1</t>
  </si>
  <si>
    <t xml:space="preserve">2105151-010</t>
  </si>
  <si>
    <t xml:space="preserve">Pinon CDP #2</t>
  </si>
  <si>
    <t xml:space="preserve">Cosmo CDP MTR #1</t>
  </si>
  <si>
    <t xml:space="preserve">2105457-028</t>
  </si>
  <si>
    <t xml:space="preserve">Cosmo CDP MTR #2</t>
  </si>
  <si>
    <t xml:space="preserve">Four Points CDP MTR #1</t>
  </si>
  <si>
    <t xml:space="preserve">Four Points CDP MTR #2</t>
  </si>
  <si>
    <t xml:space="preserve">Wise West CDP MTR # 1</t>
  </si>
  <si>
    <t xml:space="preserve">H2O Mol% : 1.750 ; Wt% : 1.542</t>
  </si>
  <si>
    <t xml:space="preserve">DMA</t>
  </si>
  <si>
    <t xml:space="preserve">Wise West CDP MTR # 2</t>
  </si>
  <si>
    <t xml:space="preserve">Penner CDP MTR #1</t>
  </si>
  <si>
    <t xml:space="preserve">Penner CDP MTR #2</t>
  </si>
  <si>
    <t xml:space="preserve">Pronghorn CDP</t>
  </si>
  <si>
    <t xml:space="preserve">Monument Draw CDP MTR #1</t>
  </si>
  <si>
    <t xml:space="preserve">T BURGESS</t>
  </si>
  <si>
    <t xml:space="preserve">H2O Mol% : 1.750 ; Wt% : 1.479</t>
  </si>
  <si>
    <t xml:space="preserve">West Quito CDP #2</t>
  </si>
  <si>
    <t xml:space="preserve">2105153-012</t>
  </si>
  <si>
    <t xml:space="preserve">University CDP MTR #1</t>
  </si>
  <si>
    <t xml:space="preserve">H2O Mol% : 1.750 ; Wt% : 1.325</t>
  </si>
  <si>
    <t xml:space="preserve">US Energy 4320 CDP</t>
  </si>
  <si>
    <t xml:space="preserve">5030_GC12</t>
  </si>
  <si>
    <t xml:space="preserve">H2O Mol% : 1.750 ; Wt% : 1.180</t>
  </si>
  <si>
    <t xml:space="preserve">2105151-013</t>
  </si>
  <si>
    <t xml:space="preserve">Nailed It B CDP</t>
  </si>
  <si>
    <t xml:space="preserve">H2O Mol% : 1.750 ; Wt% : 1.452</t>
  </si>
  <si>
    <t xml:space="preserve">Cypress 33 B CDP MTR #1</t>
  </si>
  <si>
    <t xml:space="preserve">H2O Mol% : 1.750 ; Wt% : 1.474</t>
  </si>
  <si>
    <t xml:space="preserve">2105864-016</t>
  </si>
  <si>
    <t xml:space="preserve">Cypress 33 B CDP MTR #2</t>
  </si>
  <si>
    <t xml:space="preserve">Money Graham B CDP</t>
  </si>
  <si>
    <t xml:space="preserve">H2O Mol% : 1.750 ; Wt% : 1.339</t>
  </si>
  <si>
    <t xml:space="preserve">2105864-006</t>
  </si>
  <si>
    <t xml:space="preserve">Money Graham A CDP MTR #2</t>
  </si>
  <si>
    <t xml:space="preserve">H2O Mol% : 1.750 ; Wt% : 1.477</t>
  </si>
  <si>
    <t xml:space="preserve">Pliny The Elder CDP</t>
  </si>
  <si>
    <t xml:space="preserve">H2O Mol% : 1.750 ; Wt% : 1.484</t>
  </si>
  <si>
    <t xml:space="preserve">Cypress 34 A CDP</t>
  </si>
  <si>
    <t xml:space="preserve">Welcome to Golden CDP MTR #1</t>
  </si>
  <si>
    <t xml:space="preserve">H2O Mol% : 1.750 ; Wt% : 1.411</t>
  </si>
  <si>
    <t xml:space="preserve">Welcome to Golden CDP MTR #2</t>
  </si>
  <si>
    <t xml:space="preserve">Cypress 34 B CDP</t>
  </si>
  <si>
    <t xml:space="preserve">H2O Mol% : 1.750 ; Wt% : 1.485</t>
  </si>
  <si>
    <t xml:space="preserve">2105153-013</t>
  </si>
  <si>
    <t xml:space="preserve">Nailed It A CDP</t>
  </si>
  <si>
    <t xml:space="preserve">2105864-010</t>
  </si>
  <si>
    <t xml:space="preserve">Bluto CDP</t>
  </si>
  <si>
    <t xml:space="preserve">H2O Mol% : 1.750 ; Wt% : 1.540</t>
  </si>
  <si>
    <t xml:space="preserve">DF Ranch CDP</t>
  </si>
  <si>
    <t xml:space="preserve">H2O Mol% : 1.750 ; Wt% : 1.509</t>
  </si>
  <si>
    <t xml:space="preserve">Quito CDP MTR #1</t>
  </si>
  <si>
    <t xml:space="preserve">H2O Mol% : 1.750 ; Wt% : 1.615</t>
  </si>
  <si>
    <t xml:space="preserve">Quito CDP MTR #2</t>
  </si>
  <si>
    <t xml:space="preserve">Brazos CDP</t>
  </si>
  <si>
    <t xml:space="preserve">H2O Mol% : 1.750 ; Wt% : 1.560</t>
  </si>
  <si>
    <t xml:space="preserve">Abigail CDP</t>
  </si>
  <si>
    <t xml:space="preserve">H2O Mol% : 1.750 ; Wt% : 1.562</t>
  </si>
  <si>
    <t xml:space="preserve">Emma CDP</t>
  </si>
  <si>
    <t xml:space="preserve">H2O Mol% : 1.750 ; Wt% : 1.553</t>
  </si>
  <si>
    <t xml:space="preserve">Crestwood CDP</t>
  </si>
  <si>
    <t xml:space="preserve">H2O Mol% : 1.750 ; Wt% : 1.567</t>
  </si>
  <si>
    <t xml:space="preserve">Jim Ed CDP</t>
  </si>
  <si>
    <t xml:space="preserve">Parker CDP</t>
  </si>
  <si>
    <t xml:space="preserve">H2O Mol% : 1.750 ; Wt% : 1.373</t>
  </si>
  <si>
    <t xml:space="preserve">Parker 2 CDP</t>
  </si>
  <si>
    <t xml:space="preserve">Rock Ridge Federal CDP</t>
  </si>
  <si>
    <t xml:space="preserve">H2O Mol% : 1.750 ; Wt% : 1.490</t>
  </si>
  <si>
    <t xml:space="preserve">Roy CDP</t>
  </si>
  <si>
    <t xml:space="preserve">H2O Mol% : 1.750 ; Wt% : 1.312</t>
  </si>
  <si>
    <t xml:space="preserve">2105151-011</t>
  </si>
  <si>
    <t xml:space="preserve">Flat Head CDP</t>
  </si>
  <si>
    <t xml:space="preserve">H2O Mol% : 1.750 ; Wt% : 1.225</t>
  </si>
  <si>
    <t xml:space="preserve">Jeff East CDP</t>
  </si>
  <si>
    <t xml:space="preserve">H2O Mol% : 1.750 ; Wt% : 1.317</t>
  </si>
  <si>
    <t xml:space="preserve">Gillette CDP</t>
  </si>
  <si>
    <t xml:space="preserve">H2O Mol% : 1.750 ; Wt% : 1.337</t>
  </si>
  <si>
    <t xml:space="preserve">Yellowtail CDP</t>
  </si>
  <si>
    <t xml:space="preserve">H2O Mol% : 1.750 ; Wt% : 1.254</t>
  </si>
  <si>
    <t xml:space="preserve">Wild Jenny CDP</t>
  </si>
  <si>
    <t xml:space="preserve">H2O Mol% : 1.750 ; Wt% : 1.401</t>
  </si>
  <si>
    <t xml:space="preserve">Mazer CDP</t>
  </si>
  <si>
    <t xml:space="preserve">H2O Mol% : 1.750 ; Wt% : 1.438</t>
  </si>
  <si>
    <t xml:space="preserve">2105864-009</t>
  </si>
  <si>
    <t xml:space="preserve">King George CDP</t>
  </si>
  <si>
    <t xml:space="preserve">H2O Mol% : 1.750 ; Wt% : 1.333</t>
  </si>
  <si>
    <t xml:space="preserve">Rick Vaughn CDP</t>
  </si>
  <si>
    <t xml:space="preserve">H2O Mol% : 1.750 ; Wt% : 1.357</t>
  </si>
  <si>
    <t xml:space="preserve">2105864-017</t>
  </si>
  <si>
    <t xml:space="preserve">2.19.1</t>
  </si>
  <si>
    <t xml:space="preserve">China Draw CDP</t>
  </si>
  <si>
    <t xml:space="preserve">2.18.4</t>
  </si>
  <si>
    <t xml:space="preserve">Emma BuyBack</t>
  </si>
  <si>
    <t xml:space="preserve">Nailed It B BuyBack</t>
  </si>
  <si>
    <t xml:space="preserve">H2O Mol% : 1.750 ; Wt% : 1.512</t>
  </si>
  <si>
    <t xml:space="preserve">2105298-016</t>
  </si>
  <si>
    <t xml:space="preserve">Wild Jenny BuyBack</t>
  </si>
  <si>
    <t xml:space="preserve">Cypress 33 B Buyback</t>
  </si>
  <si>
    <t xml:space="preserve">2105298-024</t>
  </si>
  <si>
    <t xml:space="preserve">Jeff East BuyBack</t>
  </si>
  <si>
    <t xml:space="preserve">Flat Head BuyBack</t>
  </si>
  <si>
    <t xml:space="preserve">Gillette BuyBack</t>
  </si>
  <si>
    <t xml:space="preserve">Yellowtail BuyBack</t>
  </si>
  <si>
    <t xml:space="preserve">Welcome To Golden BuyBack</t>
  </si>
  <si>
    <t xml:space="preserve">H2O Mol% : 1.750 ; Wt% : 1.471</t>
  </si>
  <si>
    <t xml:space="preserve">2105298-018</t>
  </si>
  <si>
    <t xml:space="preserve">Rick Vaughn BuyBack</t>
  </si>
  <si>
    <t xml:space="preserve">Johnny Cash 2 BuyBack</t>
  </si>
  <si>
    <t xml:space="preserve">Pliny The Elder BuyBack</t>
  </si>
  <si>
    <t xml:space="preserve">H2O Mol% : 1.750 ; Wt% : 1.469</t>
  </si>
  <si>
    <t xml:space="preserve">Nailed It A BuyBack</t>
  </si>
  <si>
    <t xml:space="preserve">Money Graham BuyBack</t>
  </si>
  <si>
    <t xml:space="preserve">Cypress BuyBack</t>
  </si>
  <si>
    <t xml:space="preserve">H2O Mol% : 1.750 ; Wt% : 1.450</t>
  </si>
  <si>
    <t xml:space="preserve">Parker BuyBack</t>
  </si>
  <si>
    <t xml:space="preserve">Atlantic Master BuyBack</t>
  </si>
  <si>
    <t xml:space="preserve">2104497-019</t>
  </si>
  <si>
    <t xml:space="preserve">5.00.1</t>
  </si>
  <si>
    <t xml:space="preserve">EPNG BuyBack Fuel</t>
  </si>
  <si>
    <t xml:space="preserve">Pecos 2 LP Fuel</t>
  </si>
  <si>
    <t xml:space="preserve">H2O Mol% : 1.750 ; Wt% : 1.817</t>
  </si>
  <si>
    <t xml:space="preserve">5.00.15</t>
  </si>
  <si>
    <t xml:space="preserve">Pliny The Elder Compressor Fuel</t>
  </si>
  <si>
    <t xml:space="preserve">H2O Mol% : 1.750 ; Wt% : 1.482</t>
  </si>
  <si>
    <t xml:space="preserve">2105864-007</t>
  </si>
  <si>
    <t xml:space="preserve">Pecos 1 HP Fuel</t>
  </si>
  <si>
    <t xml:space="preserve">H2O Mol% : 1.750 ; Wt% : 1.922</t>
  </si>
  <si>
    <t xml:space="preserve">Pecos 2 HP Fuel</t>
  </si>
  <si>
    <t xml:space="preserve">5.00.2</t>
  </si>
  <si>
    <t xml:space="preserve">Lowe Compressor Fuel</t>
  </si>
  <si>
    <t xml:space="preserve">2104497-016</t>
  </si>
  <si>
    <t xml:space="preserve">5.00.21</t>
  </si>
  <si>
    <t xml:space="preserve">Nailed It A Compressor Fuel</t>
  </si>
  <si>
    <t xml:space="preserve">H2O Mol% : 1.750 ; Wt% : 1.497</t>
  </si>
  <si>
    <t xml:space="preserve">5.00.22</t>
  </si>
  <si>
    <t xml:space="preserve">Bluto Compressor Fuel #1</t>
  </si>
  <si>
    <t xml:space="preserve">H2O Mol% : 1.750 ; Wt% : 1.547</t>
  </si>
  <si>
    <t xml:space="preserve">5.00.23</t>
  </si>
  <si>
    <t xml:space="preserve">Bluto Compressor Fuel #2</t>
  </si>
  <si>
    <t xml:space="preserve">5.00.24</t>
  </si>
  <si>
    <t xml:space="preserve">Cypress Compressor Fuel</t>
  </si>
  <si>
    <t xml:space="preserve">H2O Mol% : 1.750 ; Wt% : 1.459</t>
  </si>
  <si>
    <t xml:space="preserve">5.00.28</t>
  </si>
  <si>
    <t xml:space="preserve">Welcome to Golden Compressor Fuel</t>
  </si>
  <si>
    <t xml:space="preserve">H2O Mol% : 1.750 ; Wt% : 1.502</t>
  </si>
  <si>
    <t xml:space="preserve">5.00.29</t>
  </si>
  <si>
    <t xml:space="preserve">Oasis Fuel Gas</t>
  </si>
  <si>
    <t xml:space="preserve">H2O Mol% : 1.750 ; Wt% : 1.403</t>
  </si>
  <si>
    <t xml:space="preserve">5.00.32</t>
  </si>
  <si>
    <t xml:space="preserve">Abigail Compressor Fuel</t>
  </si>
  <si>
    <t xml:space="preserve">5.00.33</t>
  </si>
  <si>
    <t xml:space="preserve">Emma Fuel Gas</t>
  </si>
  <si>
    <t xml:space="preserve">H2O Mol% : 1.750 ; Wt% : 1.574</t>
  </si>
  <si>
    <t xml:space="preserve">5.00.34</t>
  </si>
  <si>
    <t xml:space="preserve">Nailed It B Fuel</t>
  </si>
  <si>
    <t xml:space="preserve">H2O Mol% : 1.750 ; Wt% : 1.614</t>
  </si>
  <si>
    <t xml:space="preserve">5.00.35</t>
  </si>
  <si>
    <t xml:space="preserve">Cypress 33 Fuel</t>
  </si>
  <si>
    <t xml:space="preserve">H2O Mol% : 1.750 ; Wt% : 1.498</t>
  </si>
  <si>
    <t xml:space="preserve">5.00.36</t>
  </si>
  <si>
    <t xml:space="preserve">Tribute Compressor Station Fuel</t>
  </si>
  <si>
    <t xml:space="preserve">H2O Mol% : 1.750 ; Wt% : 1.503</t>
  </si>
  <si>
    <t xml:space="preserve">5.00.5</t>
  </si>
  <si>
    <t xml:space="preserve">BOP VRU Makeup #2</t>
  </si>
  <si>
    <t xml:space="preserve">Pecos BOP Fuel #3</t>
  </si>
  <si>
    <t xml:space="preserve">H2O Mol% : 1.750 ; Wt% : 1.931</t>
  </si>
  <si>
    <t xml:space="preserve">Pecos 1 LP Fuel</t>
  </si>
  <si>
    <t xml:space="preserve">H2O Mol% : 1.750 ; Wt% : 1.917</t>
  </si>
  <si>
    <t xml:space="preserve">5.00.8</t>
  </si>
  <si>
    <t xml:space="preserve">University Compressor Fuel</t>
  </si>
  <si>
    <t xml:space="preserve">H2O Mol% : 1.750 ; Wt% : 1.384</t>
  </si>
  <si>
    <t xml:space="preserve">7.00.1</t>
  </si>
  <si>
    <t xml:space="preserve">Lowe Compressor Inlet</t>
  </si>
  <si>
    <t xml:space="preserve">2102861-071</t>
  </si>
  <si>
    <t xml:space="preserve">7.00.3</t>
  </si>
  <si>
    <t xml:space="preserve">Pecos 1 Inlet</t>
  </si>
  <si>
    <t xml:space="preserve">7.00.5</t>
  </si>
  <si>
    <t xml:space="preserve">Pecos 2 Inlet</t>
  </si>
  <si>
    <t xml:space="preserve">7.00.7</t>
  </si>
  <si>
    <t xml:space="preserve">Coyote Inlet</t>
  </si>
  <si>
    <t xml:space="preserve">7.00.9</t>
  </si>
  <si>
    <t xml:space="preserve">Pecos Plant LP Separator</t>
  </si>
  <si>
    <t xml:space="preserve">H2O Mol% : 1.750 ; Wt% : 1.277</t>
  </si>
  <si>
    <t xml:space="preserve">H2O Mol% : 1.750 ; Wt% : 1.561</t>
  </si>
  <si>
    <t xml:space="preserve">H2O Mol% : 1.750 ; Wt% : 1.517</t>
  </si>
  <si>
    <t xml:space="preserve">8.00.13</t>
  </si>
  <si>
    <t xml:space="preserve">Coyote Discharge</t>
  </si>
  <si>
    <t xml:space="preserve">H2O Mol% : 1.750 ; Wt% : 1.603</t>
  </si>
  <si>
    <t xml:space="preserve">H2O Mol% : 1.750 ; Wt% : 1.412</t>
  </si>
  <si>
    <t xml:space="preserve">8.00.2</t>
  </si>
  <si>
    <t xml:space="preserve">Pecos 1 Discharge</t>
  </si>
  <si>
    <t xml:space="preserve">2105805-007</t>
  </si>
  <si>
    <t xml:space="preserve">H2O Mol% : 1.750 ; Wt% : 1.551</t>
  </si>
  <si>
    <t xml:space="preserve">H2O Mol% : 1.750 ; Wt% : 1.466</t>
  </si>
  <si>
    <t xml:space="preserve">University Discharge</t>
  </si>
  <si>
    <t xml:space="preserve">8.00.5</t>
  </si>
  <si>
    <t xml:space="preserve">Pecos 2 Discharge</t>
  </si>
  <si>
    <t xml:space="preserve">H2O Mol% : 1.750 ; Wt% : 1.514</t>
  </si>
  <si>
    <t xml:space="preserve">CAL1</t>
  </si>
  <si>
    <t xml:space="preserve">Cryo Fuel Usage</t>
  </si>
  <si>
    <t xml:space="preserve">Check</t>
  </si>
  <si>
    <t xml:space="preserve">CAL2</t>
  </si>
  <si>
    <t xml:space="preserve">BOP Fuel Usage</t>
  </si>
  <si>
    <t xml:space="preserve">CAL3</t>
  </si>
  <si>
    <t xml:space="preserve">Pecos Plant Fuel Usage</t>
  </si>
</sst>
</file>

<file path=xl/styles.xml><?xml version="1.0" encoding="utf-8"?>
<styleSheet xmlns="http://schemas.openxmlformats.org/spreadsheetml/2006/main">
  <numFmts count="18">
    <numFmt numFmtId="164" formatCode="General"/>
    <numFmt numFmtId="165" formatCode="0.0"/>
    <numFmt numFmtId="166" formatCode="0.00"/>
    <numFmt numFmtId="167" formatCode="0"/>
    <numFmt numFmtId="168" formatCode="_(* #,##0_);_(* \(#,##0\);_(* \-??_);_(@_)"/>
    <numFmt numFmtId="169" formatCode="0.00E+00"/>
    <numFmt numFmtId="170" formatCode="0.000"/>
    <numFmt numFmtId="171" formatCode="0.000000"/>
    <numFmt numFmtId="172" formatCode="@"/>
    <numFmt numFmtId="173" formatCode="General"/>
    <numFmt numFmtId="174" formatCode="0.00000"/>
    <numFmt numFmtId="175" formatCode="0.0000000"/>
    <numFmt numFmtId="176" formatCode="0.0000"/>
    <numFmt numFmtId="177" formatCode="_(* #,##0.00_);_(* \(#,##0.00\);_(* \-??_);_(@_)"/>
    <numFmt numFmtId="178" formatCode="0.00_);\(0.00\)"/>
    <numFmt numFmtId="179" formatCode="0.0000_);[RED]\(0.0000\)"/>
    <numFmt numFmtId="180" formatCode="m/d/yyyy\ h:mm"/>
    <numFmt numFmtId="181" formatCode="m/d/yyyy"/>
  </numFmts>
  <fonts count="21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FFFFFF"/>
      <name val="Calibri"/>
      <family val="0"/>
      <charset val="1"/>
    </font>
    <font>
      <b val="true"/>
      <sz val="12"/>
      <color rgb="FF000000"/>
      <name val="Calibri"/>
      <family val="0"/>
      <charset val="1"/>
    </font>
    <font>
      <b val="true"/>
      <sz val="11"/>
      <color rgb="FF000000"/>
      <name val="Calibri"/>
      <family val="0"/>
      <charset val="1"/>
    </font>
    <font>
      <i val="true"/>
      <sz val="11"/>
      <color rgb="FF385623"/>
      <name val="Calibri"/>
      <family val="0"/>
      <charset val="1"/>
    </font>
    <font>
      <i val="true"/>
      <sz val="11"/>
      <color rgb="FF2F5496"/>
      <name val="Calibri"/>
      <family val="0"/>
      <charset val="1"/>
    </font>
    <font>
      <sz val="9"/>
      <color rgb="FF70AD47"/>
      <name val="Calibri"/>
      <family val="2"/>
    </font>
    <font>
      <sz val="9"/>
      <color rgb="FF4472C4"/>
      <name val="Calibri"/>
      <family val="2"/>
    </font>
    <font>
      <sz val="9"/>
      <color rgb="FF000000"/>
      <name val="Calibri"/>
      <family val="2"/>
    </font>
    <font>
      <b val="true"/>
      <sz val="11"/>
      <color rgb="FFFFFFFF"/>
      <name val="Calibri"/>
      <family val="0"/>
      <charset val="1"/>
    </font>
    <font>
      <i val="true"/>
      <sz val="8"/>
      <color rgb="FF000000"/>
      <name val="Calibri"/>
      <family val="0"/>
      <charset val="1"/>
    </font>
    <font>
      <sz val="8"/>
      <color rgb="FF000000"/>
      <name val="Calibri"/>
      <family val="0"/>
      <charset val="1"/>
    </font>
    <font>
      <i val="true"/>
      <sz val="8"/>
      <color rgb="FF8EAADB"/>
      <name val="Calibri"/>
      <family val="0"/>
      <charset val="1"/>
    </font>
    <font>
      <b val="true"/>
      <u val="single"/>
      <sz val="11"/>
      <color rgb="FF000000"/>
      <name val="Calibri"/>
      <family val="0"/>
      <charset val="1"/>
    </font>
    <font>
      <vertAlign val="subscript"/>
      <sz val="11"/>
      <color rgb="FF000000"/>
      <name val="Calibri"/>
      <family val="0"/>
      <charset val="1"/>
    </font>
    <font>
      <sz val="9"/>
      <color rgb="FF000000"/>
      <name val="Calibri"/>
      <family val="0"/>
      <charset val="1"/>
    </font>
    <font>
      <i val="true"/>
      <sz val="11"/>
      <color rgb="FF000000"/>
      <name val="Calibri"/>
      <family val="0"/>
      <charset val="1"/>
    </font>
    <font>
      <i val="true"/>
      <sz val="8"/>
      <color rgb="FF2F5496"/>
      <name val="Calibri"/>
      <family val="0"/>
      <charset val="1"/>
    </font>
  </fonts>
  <fills count="13">
    <fill>
      <patternFill patternType="none"/>
    </fill>
    <fill>
      <patternFill patternType="gray125"/>
    </fill>
    <fill>
      <patternFill patternType="solid">
        <fgColor rgb="FF333F4F"/>
        <bgColor rgb="FF44546A"/>
      </patternFill>
    </fill>
    <fill>
      <patternFill patternType="solid">
        <fgColor rgb="FFE7E6E6"/>
        <bgColor rgb="FFDEEAF6"/>
      </patternFill>
    </fill>
    <fill>
      <patternFill patternType="solid">
        <fgColor rgb="FFE2EFD9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44546A"/>
        <bgColor rgb="FF2F5496"/>
      </patternFill>
    </fill>
    <fill>
      <patternFill patternType="solid">
        <fgColor rgb="FFD0CECE"/>
        <bgColor rgb="FFD8D8D8"/>
      </patternFill>
    </fill>
    <fill>
      <patternFill patternType="solid">
        <fgColor rgb="FFDEEAF6"/>
        <bgColor rgb="FFE7E6E6"/>
      </patternFill>
    </fill>
    <fill>
      <patternFill patternType="solid">
        <fgColor rgb="FF000000"/>
        <bgColor rgb="FF003300"/>
      </patternFill>
    </fill>
    <fill>
      <patternFill patternType="solid">
        <fgColor rgb="FF333399"/>
        <bgColor rgb="FF2F5496"/>
      </patternFill>
    </fill>
    <fill>
      <patternFill patternType="solid">
        <fgColor rgb="FFFFFFFF"/>
        <bgColor rgb="FFFEF2CB"/>
      </patternFill>
    </fill>
    <fill>
      <patternFill patternType="solid">
        <fgColor rgb="FFD8D8D8"/>
        <bgColor rgb="FFD9D9D9"/>
      </patternFill>
    </fill>
  </fills>
  <borders count="68">
    <border diagonalUp="false" diagonalDown="false">
      <left/>
      <right/>
      <top/>
      <bottom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n"/>
      <diagonal/>
    </border>
    <border diagonalUp="false" diagonalDown="false">
      <left style="thick"/>
      <right style="thin"/>
      <top style="thin"/>
      <bottom style="thin"/>
      <diagonal/>
    </border>
    <border diagonalUp="false" diagonalDown="false">
      <left style="thin"/>
      <right style="dotted"/>
      <top style="thin"/>
      <bottom style="dotted"/>
      <diagonal/>
    </border>
    <border diagonalUp="false" diagonalDown="false">
      <left style="dotted"/>
      <right style="dotted"/>
      <top style="thin"/>
      <bottom style="dotted"/>
      <diagonal/>
    </border>
    <border diagonalUp="false" diagonalDown="false">
      <left style="dotted"/>
      <right style="thin"/>
      <top style="thin"/>
      <bottom style="dotted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dotted"/>
      <top style="dotted"/>
      <bottom style="dotted"/>
      <diagonal/>
    </border>
    <border diagonalUp="false" diagonalDown="false">
      <left style="dotted"/>
      <right style="dotted"/>
      <top style="dotted"/>
      <bottom style="dotted"/>
      <diagonal/>
    </border>
    <border diagonalUp="false" diagonalDown="false">
      <left style="dotted"/>
      <right style="thin"/>
      <top style="dotted"/>
      <bottom style="dotted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ck"/>
      <right style="medium"/>
      <top style="thick"/>
      <bottom style="medium"/>
      <diagonal/>
    </border>
    <border diagonalUp="false" diagonalDown="false">
      <left/>
      <right style="thin"/>
      <top style="thick"/>
      <bottom style="medium"/>
      <diagonal/>
    </border>
    <border diagonalUp="false" diagonalDown="false">
      <left style="thin"/>
      <right style="thin"/>
      <top style="thick"/>
      <bottom style="medium"/>
      <diagonal/>
    </border>
    <border diagonalUp="false" diagonalDown="false">
      <left style="thin"/>
      <right style="thick"/>
      <top style="thick"/>
      <bottom style="medium"/>
      <diagonal/>
    </border>
    <border diagonalUp="false" diagonalDown="false">
      <left style="thick"/>
      <right style="medium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ck"/>
      <top/>
      <bottom style="thin"/>
      <diagonal/>
    </border>
    <border diagonalUp="false" diagonalDown="false">
      <left style="thick"/>
      <right style="medium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ck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ck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thick"/>
      <top style="medium"/>
      <bottom style="thin"/>
      <diagonal/>
    </border>
    <border diagonalUp="false" diagonalDown="false">
      <left style="thick"/>
      <right style="medium"/>
      <top style="thin"/>
      <bottom style="thick"/>
      <diagonal/>
    </border>
    <border diagonalUp="false" diagonalDown="false">
      <left/>
      <right style="thin"/>
      <top style="thin"/>
      <bottom style="thick"/>
      <diagonal/>
    </border>
    <border diagonalUp="false" diagonalDown="false">
      <left style="thin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 style="thick"/>
      <right style="medium"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thick"/>
      <top style="thin"/>
      <bottom style="medium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dotted"/>
      <top style="thick"/>
      <bottom style="dotted"/>
      <diagonal/>
    </border>
    <border diagonalUp="false" diagonalDown="false">
      <left style="dotted"/>
      <right style="dotted"/>
      <top style="thick"/>
      <bottom style="dotted"/>
      <diagonal/>
    </border>
    <border diagonalUp="false" diagonalDown="false">
      <left style="dotted"/>
      <right style="thick"/>
      <top style="thick"/>
      <bottom style="dotted"/>
      <diagonal/>
    </border>
    <border diagonalUp="false" diagonalDown="false">
      <left style="thick"/>
      <right/>
      <top/>
      <bottom style="thin"/>
      <diagonal/>
    </border>
    <border diagonalUp="false" diagonalDown="false">
      <left style="thick"/>
      <right style="dotted"/>
      <top style="dotted"/>
      <bottom style="dotted"/>
      <diagonal/>
    </border>
    <border diagonalUp="false" diagonalDown="false">
      <left style="dotted"/>
      <right style="thick"/>
      <top style="dotted"/>
      <bottom style="dotted"/>
      <diagonal/>
    </border>
    <border diagonalUp="false" diagonalDown="false">
      <left style="thick"/>
      <right/>
      <top style="thin"/>
      <bottom style="thin"/>
      <diagonal/>
    </border>
    <border diagonalUp="false" diagonalDown="false">
      <left style="thick"/>
      <right/>
      <top style="thin"/>
      <bottom style="thick"/>
      <diagonal/>
    </border>
    <border diagonalUp="false" diagonalDown="false">
      <left style="thick"/>
      <right style="dotted"/>
      <top style="dotted"/>
      <bottom style="thick"/>
      <diagonal/>
    </border>
    <border diagonalUp="false" diagonalDown="false">
      <left style="dotted"/>
      <right style="dotted"/>
      <top style="dotted"/>
      <bottom style="thick"/>
      <diagonal/>
    </border>
    <border diagonalUp="false" diagonalDown="false">
      <left style="dotted"/>
      <right style="thick"/>
      <top style="dotted"/>
      <bottom style="thick"/>
      <diagonal/>
    </border>
    <border diagonalUp="false" diagonalDown="false">
      <left/>
      <right/>
      <top style="thick"/>
      <bottom/>
      <diagonal/>
    </border>
    <border diagonalUp="false" diagonalDown="false">
      <left style="thick"/>
      <right/>
      <top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/>
      <right style="thick"/>
      <top/>
      <bottom/>
      <diagonal/>
    </border>
    <border diagonalUp="false" diagonalDown="false">
      <left/>
      <right style="dotted"/>
      <top style="thick"/>
      <bottom style="medium"/>
      <diagonal/>
    </border>
    <border diagonalUp="false" diagonalDown="false">
      <left style="dotted"/>
      <right style="dotted"/>
      <top style="thick"/>
      <bottom style="medium"/>
      <diagonal/>
    </border>
    <border diagonalUp="false" diagonalDown="false">
      <left style="dotted"/>
      <right style="thick"/>
      <top style="thick"/>
      <bottom style="medium"/>
      <diagonal/>
    </border>
    <border diagonalUp="false" diagonalDown="false">
      <left/>
      <right style="dotted"/>
      <top/>
      <bottom style="dotted"/>
      <diagonal/>
    </border>
    <border diagonalUp="false" diagonalDown="false">
      <left style="dotted"/>
      <right style="dotted"/>
      <top/>
      <bottom style="dotted"/>
      <diagonal/>
    </border>
    <border diagonalUp="false" diagonalDown="false">
      <left style="dotted"/>
      <right style="thick"/>
      <top/>
      <bottom style="dotted"/>
      <diagonal/>
    </border>
    <border diagonalUp="false" diagonalDown="false">
      <left/>
      <right style="dotted"/>
      <top style="dotted"/>
      <bottom style="dotted"/>
      <diagonal/>
    </border>
    <border diagonalUp="false" diagonalDown="false">
      <left/>
      <right style="dotted"/>
      <top style="dotted"/>
      <bottom style="thick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6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3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8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8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7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14" fillId="7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14" fillId="7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7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7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7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7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3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3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3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3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8" borderId="4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4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4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4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4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4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4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8" borderId="4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8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8" borderId="4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4" borderId="4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4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4" borderId="4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8" borderId="4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8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8" borderId="4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4" borderId="4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4" borderId="1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4" borderId="4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8" borderId="4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8" borderId="5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8" borderId="5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4" borderId="4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4" borderId="5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4" borderId="5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8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4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8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4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9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10" borderId="5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10" borderId="5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11" borderId="5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2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1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1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12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1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5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5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12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12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6" borderId="6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2" fillId="6" borderId="6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2" fillId="6" borderId="6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2" fillId="6" borderId="6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5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6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6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6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6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4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6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5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0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1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4B08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EF2CB"/>
        </patternFill>
      </fill>
    </dxf>
    <dxf>
      <fill>
        <patternFill>
          <bgColor rgb="FFD8D8D8"/>
        </patternFill>
      </fill>
    </dxf>
    <dxf>
      <font>
        <color rgb="FFFFC000"/>
      </font>
      <fill>
        <patternFill>
          <b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B7B7B7"/>
      <rgbColor rgb="FF8B8B8B"/>
      <rgbColor rgb="FF8EAADB"/>
      <rgbColor rgb="FF993366"/>
      <rgbColor rgb="FFFEF2CB"/>
      <rgbColor rgb="FFDEEAF6"/>
      <rgbColor rgb="FF660066"/>
      <rgbColor rgb="FFFF8080"/>
      <rgbColor rgb="FF2F5496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E2EFD9"/>
      <rgbColor rgb="FFD9D9D9"/>
      <rgbColor rgb="FFD8D8D8"/>
      <rgbColor rgb="FFF4B083"/>
      <rgbColor rgb="FFCC99FF"/>
      <rgbColor rgb="FFFFC7CE"/>
      <rgbColor rgb="FF4472C4"/>
      <rgbColor rgb="FF33CCCC"/>
      <rgbColor rgb="FF99CC00"/>
      <rgbColor rgb="FFFFC000"/>
      <rgbColor rgb="FFFF9900"/>
      <rgbColor rgb="FFFF6600"/>
      <rgbColor rgb="FF44546A"/>
      <rgbColor rgb="FF70AD47"/>
      <rgbColor rgb="FF003366"/>
      <rgbColor rgb="FF339966"/>
      <rgbColor rgb="FF003300"/>
      <rgbColor rgb="FF385623"/>
      <rgbColor rgb="FF993300"/>
      <rgbColor rgb="FF993366"/>
      <rgbColor rgb="FF333399"/>
      <rgbColor rgb="FF333F4F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spPr>
            <a:solidFill>
              <a:srgbClr val="4472c4"/>
            </a:solidFill>
            <a:ln w="19080">
              <a:noFill/>
            </a:ln>
          </c:spPr>
          <c:marker>
            <c:symbol val="circle"/>
            <c:size val="7"/>
            <c:spPr>
              <a:solidFill>
                <a:srgbClr val="4472c4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Validation!$L$5:$L$21</c:f>
              <c:numCache>
                <c:formatCode>General</c:formatCode>
                <c:ptCount val="17"/>
                <c:pt idx="0">
                  <c:v>27.1858150280427</c:v>
                </c:pt>
                <c:pt idx="1">
                  <c:v>51.8669093336282</c:v>
                </c:pt>
                <c:pt idx="2">
                  <c:v>77.55029201697</c:v>
                </c:pt>
                <c:pt idx="3">
                  <c:v>102.322077538348</c:v>
                </c:pt>
                <c:pt idx="4">
                  <c:v>121.874715970375</c:v>
                </c:pt>
                <c:pt idx="5">
                  <c:v>127.957083890026</c:v>
                </c:pt>
                <c:pt idx="6">
                  <c:v>127.13504225802</c:v>
                </c:pt>
                <c:pt idx="7">
                  <c:v>101.013720146337</c:v>
                </c:pt>
                <c:pt idx="8">
                  <c:v>82.3507494735589</c:v>
                </c:pt>
                <c:pt idx="9">
                  <c:v>63.3153301726914</c:v>
                </c:pt>
                <c:pt idx="10">
                  <c:v>48.5362643361181</c:v>
                </c:pt>
                <c:pt idx="11">
                  <c:v>45.1377810983033</c:v>
                </c:pt>
                <c:pt idx="12">
                  <c:v>28.5057485027155</c:v>
                </c:pt>
                <c:pt idx="13">
                  <c:v>13.7407755801335</c:v>
                </c:pt>
                <c:pt idx="14">
                  <c:v>0.912396642445941</c:v>
                </c:pt>
                <c:pt idx="15">
                  <c:v>-10.0765082915997</c:v>
                </c:pt>
                <c:pt idx="16">
                  <c:v>-16.5550582184878</c:v>
                </c:pt>
              </c:numCache>
            </c:numRef>
          </c:xVal>
          <c:yVal>
            <c:numRef>
              <c:f>Validation!$L$22:$L$40</c:f>
              <c:numCache>
                <c:formatCode>General</c:formatCode>
                <c:ptCount val="19"/>
                <c:pt idx="0">
                  <c:v>14.695889905</c:v>
                </c:pt>
                <c:pt idx="1">
                  <c:v>47.5266314171629</c:v>
                </c:pt>
                <c:pt idx="2">
                  <c:v>114.80313588875</c:v>
                </c:pt>
                <c:pt idx="3">
                  <c:v>248.485253330064</c:v>
                </c:pt>
                <c:pt idx="4">
                  <c:v>501.717820721373</c:v>
                </c:pt>
                <c:pt idx="5">
                  <c:v>812.516458047903</c:v>
                </c:pt>
                <c:pt idx="6">
                  <c:v>939.902048405753</c:v>
                </c:pt>
                <c:pt idx="7">
                  <c:v>1531.54667685772</c:v>
                </c:pt>
                <c:pt idx="8">
                  <c:v>1691.42138434594</c:v>
                </c:pt>
                <c:pt idx="9">
                  <c:v>1771.43407407046</c:v>
                </c:pt>
                <c:pt idx="10">
                  <c:v>1788.95952762403</c:v>
                </c:pt>
                <c:pt idx="11">
                  <c:v>1788.07914860376</c:v>
                </c:pt>
                <c:pt idx="12">
                  <c:v>1759.33006595291</c:v>
                </c:pt>
                <c:pt idx="13">
                  <c:v>1701.82785176862</c:v>
                </c:pt>
                <c:pt idx="14">
                  <c:v>1629.18489800973</c:v>
                </c:pt>
                <c:pt idx="15">
                  <c:v>1551.32089845112</c:v>
                </c:pt>
                <c:pt idx="16">
                  <c:v>1499.1181508608</c:v>
                </c:pt>
                <c:pt idx="17">
                  <c:v>77.7391822175048</c:v>
                </c:pt>
                <c:pt idx="18">
                  <c:v>93.1365001657748</c:v>
                </c:pt>
              </c:numCache>
            </c:numRef>
          </c:yVal>
          <c:smooth val="1"/>
        </c:ser>
        <c:axId val="76858859"/>
        <c:axId val="41256358"/>
      </c:scatterChart>
      <c:valAx>
        <c:axId val="76858859"/>
        <c:scaling>
          <c:orientation val="minMax"/>
          <c:min val="-50"/>
        </c:scaling>
        <c:delete val="0"/>
        <c:axPos val="b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70ad47"/>
                </a:solidFill>
                <a:latin typeface="Calibri"/>
                <a:ea typeface="Calibri"/>
              </a:defRPr>
            </a:pPr>
          </a:p>
        </c:txPr>
        <c:crossAx val="41256358"/>
        <c:crosses val="autoZero"/>
        <c:crossBetween val="midCat"/>
      </c:valAx>
      <c:valAx>
        <c:axId val="41256358"/>
        <c:scaling>
          <c:orientation val="minMax"/>
          <c:max val="1800"/>
        </c:scaling>
        <c:delete val="0"/>
        <c:axPos val="l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4472c4"/>
                </a:solidFill>
                <a:latin typeface="Calibri"/>
                <a:ea typeface="Calibri"/>
              </a:defRPr>
            </a:pPr>
          </a:p>
        </c:txPr>
        <c:crossAx val="76858859"/>
        <c:crosses val="autoZero"/>
        <c:crossBetween val="midCat"/>
        <c:majorUnit val="100"/>
      </c:valAx>
      <c:spPr>
        <a:solidFill>
          <a:srgbClr val="ffffff"/>
        </a:solidFill>
        <a:ln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spPr>
            <a:solidFill>
              <a:srgbClr val="4472c4"/>
            </a:solidFill>
            <a:ln w="19080">
              <a:noFill/>
            </a:ln>
          </c:spPr>
          <c:marker>
            <c:symbol val="circle"/>
            <c:size val="7"/>
            <c:spPr>
              <a:solidFill>
                <a:srgbClr val="4472c4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  <a:ea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trendline>
            <c:spPr>
              <a:ln w="19080">
                <a:solidFill>
                  <a:srgbClr val="000000">
                    <a:alpha val="0"/>
                  </a:srgbClr>
                </a:solidFill>
                <a:round/>
              </a:ln>
            </c:spPr>
            <c:trendlineType val="linear"/>
            <c:forward val="0"/>
            <c:backward val="0"/>
            <c:dispRSqr val="0"/>
            <c:dispEq val="0"/>
          </c:trendline>
          <c:xVal>
            <c:numRef>
              <c:f>Validation!$M$63:$M$77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Validation!$N$63:$N$77</c:f>
              <c:numCache>
                <c:formatCode>General</c:formatCode>
                <c:ptCount val="15"/>
                <c:pt idx="0">
                  <c:v>89.4</c:v>
                </c:pt>
                <c:pt idx="1">
                  <c:v>90.6</c:v>
                </c:pt>
                <c:pt idx="2">
                  <c:v>91.8</c:v>
                </c:pt>
                <c:pt idx="3">
                  <c:v>93</c:v>
                </c:pt>
                <c:pt idx="4">
                  <c:v>94.2</c:v>
                </c:pt>
                <c:pt idx="5">
                  <c:v>95.4</c:v>
                </c:pt>
                <c:pt idx="6">
                  <c:v>96.6</c:v>
                </c:pt>
                <c:pt idx="7">
                  <c:v>97.8</c:v>
                </c:pt>
                <c:pt idx="8">
                  <c:v>99</c:v>
                </c:pt>
                <c:pt idx="9">
                  <c:v>100.2</c:v>
                </c:pt>
                <c:pt idx="10">
                  <c:v>101.4</c:v>
                </c:pt>
                <c:pt idx="11">
                  <c:v>102.6</c:v>
                </c:pt>
                <c:pt idx="12">
                  <c:v>103.8</c:v>
                </c:pt>
                <c:pt idx="13">
                  <c:v>105</c:v>
                </c:pt>
                <c:pt idx="14">
                  <c:v>106.2</c:v>
                </c:pt>
              </c:numCache>
            </c:numRef>
          </c:yVal>
          <c:smooth val="1"/>
        </c:ser>
        <c:axId val="4483739"/>
        <c:axId val="64214790"/>
      </c:scatterChart>
      <c:valAx>
        <c:axId val="4483739"/>
        <c:scaling>
          <c:orientation val="minMax"/>
        </c:scaling>
        <c:delete val="0"/>
        <c:axPos val="b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</a:p>
        </c:txPr>
        <c:crossAx val="64214790"/>
        <c:crosses val="autoZero"/>
        <c:crossBetween val="midCat"/>
      </c:valAx>
      <c:valAx>
        <c:axId val="64214790"/>
        <c:scaling>
          <c:orientation val="minMax"/>
        </c:scaling>
        <c:delete val="0"/>
        <c:axPos val="l"/>
        <c:majorGridlines>
          <c:spPr>
            <a:ln w="6480">
              <a:solidFill>
                <a:srgbClr val="b7b7b7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Calibri"/>
                <a:ea typeface="Calibri"/>
              </a:defRPr>
            </a:pPr>
          </a:p>
        </c:txPr>
        <c:crossAx val="4483739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600120</xdr:colOff>
      <xdr:row>5</xdr:row>
      <xdr:rowOff>0</xdr:rowOff>
    </xdr:from>
    <xdr:to>
      <xdr:col>18</xdr:col>
      <xdr:colOff>525600</xdr:colOff>
      <xdr:row>31</xdr:row>
      <xdr:rowOff>151200</xdr:rowOff>
    </xdr:to>
    <xdr:graphicFrame>
      <xdr:nvGraphicFramePr>
        <xdr:cNvPr id="0" name="Chart 1"/>
        <xdr:cNvGraphicFramePr/>
      </xdr:nvGraphicFramePr>
      <xdr:xfrm>
        <a:off x="13590000" y="952200"/>
        <a:ext cx="4796640" cy="5209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600120</xdr:colOff>
      <xdr:row>62</xdr:row>
      <xdr:rowOff>0</xdr:rowOff>
    </xdr:from>
    <xdr:to>
      <xdr:col>22</xdr:col>
      <xdr:colOff>793440</xdr:colOff>
      <xdr:row>76</xdr:row>
      <xdr:rowOff>198720</xdr:rowOff>
    </xdr:to>
    <xdr:graphicFrame>
      <xdr:nvGraphicFramePr>
        <xdr:cNvPr id="1" name="Chart 2"/>
        <xdr:cNvGraphicFramePr/>
      </xdr:nvGraphicFramePr>
      <xdr:xfrm>
        <a:off x="16914240" y="12210840"/>
        <a:ext cx="4834080" cy="2999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H1000"/>
  <sheetViews>
    <sheetView showFormulas="false" showGridLines="true" showRowColHeaders="true" showZeros="true" rightToLeft="false" tabSelected="false" showOutlineSymbols="true" defaultGridColor="true" view="normal" topLeftCell="A55" colorId="64" zoomScale="100" zoomScaleNormal="100" zoomScalePageLayoutView="100" workbookViewId="0">
      <selection pane="topLeft" activeCell="G78" activeCellId="0" sqref="G78"/>
    </sheetView>
  </sheetViews>
  <sheetFormatPr defaultColWidth="14.453125" defaultRowHeight="15" zeroHeight="false" outlineLevelRow="0" outlineLevelCol="0"/>
  <cols>
    <col collapsed="false" customWidth="true" hidden="false" outlineLevel="0" max="1" min="1" style="0" width="8.7"/>
    <col collapsed="false" customWidth="true" hidden="false" outlineLevel="0" max="2" min="2" style="0" width="16.43"/>
    <col collapsed="false" customWidth="true" hidden="false" outlineLevel="0" max="3" min="3" style="0" width="17"/>
    <col collapsed="false" customWidth="true" hidden="false" outlineLevel="0" max="4" min="4" style="0" width="13.57"/>
    <col collapsed="false" customWidth="true" hidden="false" outlineLevel="0" max="5" min="5" style="0" width="12.14"/>
    <col collapsed="false" customWidth="true" hidden="false" outlineLevel="0" max="6" min="6" style="0" width="12.29"/>
    <col collapsed="false" customWidth="true" hidden="false" outlineLevel="0" max="8" min="7" style="0" width="12.43"/>
    <col collapsed="false" customWidth="true" hidden="false" outlineLevel="0" max="9" min="9" style="0" width="13.57"/>
    <col collapsed="false" customWidth="true" hidden="false" outlineLevel="0" max="11" min="10" style="0" width="8.7"/>
    <col collapsed="false" customWidth="true" hidden="false" outlineLevel="0" max="12" min="12" style="0" width="10.14"/>
    <col collapsed="false" customWidth="true" hidden="false" outlineLevel="0" max="13" min="13" style="0" width="8.7"/>
    <col collapsed="false" customWidth="true" hidden="false" outlineLevel="0" max="14" min="14" style="0" width="11.29"/>
    <col collapsed="false" customWidth="true" hidden="false" outlineLevel="0" max="22" min="15" style="0" width="8.7"/>
    <col collapsed="false" customWidth="true" hidden="false" outlineLevel="0" max="23" min="23" style="0" width="9.57"/>
    <col collapsed="false" customWidth="true" hidden="false" outlineLevel="0" max="24" min="24" style="0" width="11"/>
    <col collapsed="false" customWidth="true" hidden="false" outlineLevel="0" max="34" min="25" style="0" width="8.7"/>
  </cols>
  <sheetData>
    <row r="1" customFormat="false" ht="15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  <c r="L1" s="4"/>
    </row>
    <row r="2" customFormat="false" ht="15" hidden="false" customHeight="false" outlineLevel="0" collapsed="false">
      <c r="A2" s="5" t="str">
        <f aca="false">Input!B20</f>
        <v>1.01.1</v>
      </c>
      <c r="B2" s="6" t="n">
        <v>22.3561763237881</v>
      </c>
      <c r="C2" s="7" t="n">
        <v>78.942673965167</v>
      </c>
      <c r="D2" s="7" t="n">
        <v>19.1386535717432</v>
      </c>
      <c r="E2" s="8" t="n">
        <v>113.435218811035</v>
      </c>
      <c r="F2" s="9" t="n">
        <v>45.2534795581055</v>
      </c>
      <c r="G2" s="10" t="n">
        <f aca="false">IF(ROUND((E2-88.2)/1.2,0)&lt;1,1,IF(ROUND((E2-88.2)/1.2,0)&gt;15,15,ROUND((E2-88.2)/1.2,0)))</f>
        <v>15</v>
      </c>
      <c r="H2" s="11" t="n">
        <f aca="false">C2&lt;D2</f>
        <v>0</v>
      </c>
      <c r="I2" s="12" t="n">
        <f aca="false">VLOOKUP(A2,FlowCal,3,0)</f>
        <v>0</v>
      </c>
      <c r="M2" s="13"/>
      <c r="W2" s="4"/>
      <c r="AF2" s="13"/>
      <c r="AG2" s="13"/>
      <c r="AH2" s="13"/>
    </row>
    <row r="3" customFormat="false" ht="15" hidden="false" customHeight="false" outlineLevel="0" collapsed="false">
      <c r="A3" s="5" t="str">
        <f aca="false">Input!C20</f>
        <v>1.01.2</v>
      </c>
      <c r="B3" s="14" t="n">
        <v>13.4219181999083</v>
      </c>
      <c r="C3" s="15" t="n">
        <v>76.9571803154484</v>
      </c>
      <c r="D3" s="15" t="n">
        <v>-22.0311341410238</v>
      </c>
      <c r="E3" s="16" t="n">
        <v>21.5345363616943</v>
      </c>
      <c r="F3" s="17" t="n">
        <v>29.1888641048584</v>
      </c>
      <c r="G3" s="10" t="n">
        <f aca="false">IF(ROUND((E3-88.2)/1.2,0)&lt;1,1,IF(ROUND((E3-88.2)/1.2,0)&gt;15,15,ROUND((E3-88.2)/1.2,0)))</f>
        <v>1</v>
      </c>
      <c r="H3" s="11" t="n">
        <f aca="false">C3&lt;D3</f>
        <v>0</v>
      </c>
      <c r="I3" s="12" t="n">
        <f aca="false">VLOOKUP(A3,FlowCal,3,0)</f>
        <v>0</v>
      </c>
      <c r="M3" s="13"/>
      <c r="N3" s="13"/>
      <c r="AF3" s="13"/>
      <c r="AG3" s="13"/>
    </row>
    <row r="4" customFormat="false" ht="15" hidden="false" customHeight="false" outlineLevel="0" collapsed="false">
      <c r="A4" s="5" t="str">
        <f aca="false">Input!D20</f>
        <v>1.01.3</v>
      </c>
      <c r="B4" s="14" t="n">
        <v>90.3834337204179</v>
      </c>
      <c r="C4" s="15" t="n">
        <v>77.1167436605302</v>
      </c>
      <c r="D4" s="15" t="n">
        <v>49.0456427312425</v>
      </c>
      <c r="E4" s="16" t="n">
        <v>102.562164306641</v>
      </c>
      <c r="F4" s="17" t="n">
        <v>44.0885366516113</v>
      </c>
      <c r="G4" s="10" t="n">
        <f aca="false">IF(ROUND((E4-88.2)/1.2,0)&lt;1,1,IF(ROUND((E4-88.2)/1.2,0)&gt;15,15,ROUND((E4-88.2)/1.2,0)))</f>
        <v>12</v>
      </c>
      <c r="H4" s="11" t="n">
        <f aca="false">C4&lt;D4</f>
        <v>0</v>
      </c>
      <c r="I4" s="12" t="n">
        <f aca="false">VLOOKUP(A4,FlowCal,3,0)</f>
        <v>46376.34</v>
      </c>
      <c r="L4" s="18" t="s">
        <v>9</v>
      </c>
      <c r="M4" s="13"/>
      <c r="N4" s="13"/>
      <c r="Y4" s="4" t="s">
        <v>10</v>
      </c>
      <c r="AF4" s="13"/>
      <c r="AG4" s="13"/>
    </row>
    <row r="5" customFormat="false" ht="15" hidden="false" customHeight="false" outlineLevel="0" collapsed="false">
      <c r="A5" s="5" t="str">
        <f aca="false">Input!E20</f>
        <v>1.01.4</v>
      </c>
      <c r="B5" s="14" t="n">
        <v>13.3571218649546</v>
      </c>
      <c r="C5" s="15" t="n">
        <v>78.8065221078934</v>
      </c>
      <c r="D5" s="15" t="n">
        <v>-48.8695924626213</v>
      </c>
      <c r="E5" s="16" t="n">
        <v>13.9288101196289</v>
      </c>
      <c r="F5" s="17" t="n">
        <v>28.4045380539551</v>
      </c>
      <c r="G5" s="10" t="n">
        <f aca="false">IF(ROUND((E5-88.2)/1.2,0)&lt;1,1,IF(ROUND((E5-88.2)/1.2,0)&gt;15,15,ROUND((E5-88.2)/1.2,0)))</f>
        <v>1</v>
      </c>
      <c r="H5" s="11" t="n">
        <f aca="false">C5&lt;D5</f>
        <v>0</v>
      </c>
      <c r="I5" s="12" t="n">
        <f aca="false">VLOOKUP(A5,FlowCal,3,0)</f>
        <v>0</v>
      </c>
      <c r="L5" s="19" t="n">
        <f aca="false">HLOOKUP(L$4,Envl,Envelope!A2,0)</f>
        <v>27.1858150280427</v>
      </c>
      <c r="M5" s="13"/>
      <c r="N5" s="13"/>
      <c r="AF5" s="13"/>
      <c r="AG5" s="13"/>
    </row>
    <row r="6" customFormat="false" ht="15" hidden="false" customHeight="false" outlineLevel="0" collapsed="false">
      <c r="A6" s="5" t="str">
        <f aca="false">Input!F20</f>
        <v>1.01.5</v>
      </c>
      <c r="B6" s="14" t="n">
        <v>94.6172602500156</v>
      </c>
      <c r="C6" s="15" t="n">
        <v>81.4497945849687</v>
      </c>
      <c r="D6" s="15" t="n">
        <v>52.538267410814</v>
      </c>
      <c r="E6" s="16" t="n">
        <v>102.840209960938</v>
      </c>
      <c r="F6" s="17" t="n">
        <v>44.1183294086914</v>
      </c>
      <c r="G6" s="10" t="n">
        <f aca="false">IF(ROUND((E6-88.2)/1.2,0)&lt;1,1,IF(ROUND((E6-88.2)/1.2,0)&gt;15,15,ROUND((E6-88.2)/1.2,0)))</f>
        <v>12</v>
      </c>
      <c r="H6" s="11" t="n">
        <f aca="false">C6&lt;D6</f>
        <v>0</v>
      </c>
      <c r="I6" s="12" t="n">
        <f aca="false">VLOOKUP(A6,FlowCal,3,0)</f>
        <v>16278.35</v>
      </c>
      <c r="L6" s="19" t="n">
        <f aca="false">IF(HLOOKUP(L$4,Envl,Envelope!A3,0)=0,L5,HLOOKUP(L$4,Envl,Envelope!A3,0))</f>
        <v>51.8669093336282</v>
      </c>
      <c r="M6" s="13"/>
      <c r="N6" s="13"/>
      <c r="Y6" s="20" t="s">
        <v>11</v>
      </c>
      <c r="AF6" s="13"/>
      <c r="AG6" s="13"/>
    </row>
    <row r="7" customFormat="false" ht="15" hidden="false" customHeight="false" outlineLevel="0" collapsed="false">
      <c r="A7" s="5" t="str">
        <f aca="false">Input!G20</f>
        <v>1.01.6</v>
      </c>
      <c r="B7" s="14" t="n">
        <v>93.7953254304999</v>
      </c>
      <c r="C7" s="15" t="n">
        <v>80.6438741754455</v>
      </c>
      <c r="D7" s="15" t="n">
        <v>40.1396328349593</v>
      </c>
      <c r="E7" s="16" t="n">
        <v>107.486396789551</v>
      </c>
      <c r="F7" s="17" t="n">
        <v>44.6161187888184</v>
      </c>
      <c r="G7" s="10" t="n">
        <f aca="false">IF(ROUND((E7-88.2)/1.2,0)&lt;1,1,IF(ROUND((E7-88.2)/1.2,0)&gt;15,15,ROUND((E7-88.2)/1.2,0)))</f>
        <v>15</v>
      </c>
      <c r="H7" s="11" t="n">
        <f aca="false">C7&lt;D7</f>
        <v>0</v>
      </c>
      <c r="I7" s="12" t="n">
        <f aca="false">VLOOKUP(A7,FlowCal,3,0)</f>
        <v>12576.36</v>
      </c>
      <c r="L7" s="19" t="n">
        <f aca="false">IF(HLOOKUP(L$4,Envl,Envelope!A4,0)=0,L6,HLOOKUP(L$4,Envl,Envelope!A4,0))</f>
        <v>77.55029201697</v>
      </c>
      <c r="M7" s="13"/>
      <c r="N7" s="13"/>
      <c r="Y7" s="20" t="s">
        <v>12</v>
      </c>
      <c r="AF7" s="13"/>
      <c r="AG7" s="13"/>
    </row>
    <row r="8" customFormat="false" ht="15" hidden="false" customHeight="false" outlineLevel="0" collapsed="false">
      <c r="A8" s="5" t="str">
        <f aca="false">Input!H20</f>
        <v>1.01.7</v>
      </c>
      <c r="B8" s="14" t="n">
        <v>92.7763482205855</v>
      </c>
      <c r="C8" s="15" t="n">
        <v>75.0075733104629</v>
      </c>
      <c r="D8" s="15" t="n">
        <v>61.7381350024595</v>
      </c>
      <c r="E8" s="16" t="n">
        <v>97.0953979492188</v>
      </c>
      <c r="F8" s="17" t="n">
        <v>43.5028283461914</v>
      </c>
      <c r="G8" s="10" t="n">
        <f aca="false">IF(ROUND((E8-88.2)/1.2,0)&lt;1,1,IF(ROUND((E8-88.2)/1.2,0)&gt;15,15,ROUND((E8-88.2)/1.2,0)))</f>
        <v>7</v>
      </c>
      <c r="H8" s="11" t="n">
        <f aca="false">C8&lt;D8</f>
        <v>0</v>
      </c>
      <c r="I8" s="12" t="n">
        <f aca="false">VLOOKUP(A8,FlowCal,3,0)</f>
        <v>24861.69</v>
      </c>
      <c r="L8" s="19" t="n">
        <f aca="false">IF(HLOOKUP(L$4,Envl,Envelope!A5,0)=0,L7,HLOOKUP(L$4,Envl,Envelope!A5,0))</f>
        <v>102.322077538348</v>
      </c>
      <c r="M8" s="13"/>
      <c r="N8" s="13"/>
      <c r="Y8" s="20" t="s">
        <v>13</v>
      </c>
      <c r="AF8" s="13"/>
      <c r="AG8" s="13"/>
    </row>
    <row r="9" customFormat="false" ht="15" hidden="false" customHeight="false" outlineLevel="0" collapsed="false">
      <c r="A9" s="5" t="str">
        <f aca="false">Input!I20</f>
        <v>1.01.8</v>
      </c>
      <c r="B9" s="14" t="n">
        <v>90.7908598746099</v>
      </c>
      <c r="C9" s="15" t="n">
        <v>75.4517805073168</v>
      </c>
      <c r="D9" s="15" t="n">
        <v>37.8755860600742</v>
      </c>
      <c r="E9" s="16" t="n">
        <v>106.548126220703</v>
      </c>
      <c r="F9" s="17" t="n">
        <v>44.5155953820801</v>
      </c>
      <c r="G9" s="10" t="n">
        <f aca="false">IF(ROUND((E9-88.2)/1.2,0)&lt;1,1,IF(ROUND((E9-88.2)/1.2,0)&gt;15,15,ROUND((E9-88.2)/1.2,0)))</f>
        <v>15</v>
      </c>
      <c r="H9" s="11" t="n">
        <f aca="false">C9&lt;D9</f>
        <v>0</v>
      </c>
      <c r="I9" s="12" t="n">
        <f aca="false">VLOOKUP(A9,FlowCal,3,0)</f>
        <v>8689.66</v>
      </c>
      <c r="L9" s="19" t="n">
        <f aca="false">IF(HLOOKUP(L$4,Envl,Envelope!A6,0)=0,L8,HLOOKUP(L$4,Envl,Envelope!A6,0))</f>
        <v>121.874715970375</v>
      </c>
      <c r="M9" s="13"/>
      <c r="N9" s="13"/>
      <c r="Y9" s="20" t="s">
        <v>14</v>
      </c>
      <c r="AF9" s="13"/>
      <c r="AG9" s="13"/>
    </row>
    <row r="10" customFormat="false" ht="15" hidden="false" customHeight="false" outlineLevel="0" collapsed="false">
      <c r="A10" s="5" t="str">
        <f aca="false">Input!J20</f>
        <v>1.01.9</v>
      </c>
      <c r="B10" s="14" t="n">
        <v>91.9550793211202</v>
      </c>
      <c r="C10" s="15" t="n">
        <v>79.9335406297994</v>
      </c>
      <c r="D10" s="15" t="n">
        <v>49.3422016792237</v>
      </c>
      <c r="E10" s="16" t="n">
        <v>103.422050476074</v>
      </c>
      <c r="F10" s="17" t="n">
        <v>44.1806659614258</v>
      </c>
      <c r="G10" s="10" t="n">
        <f aca="false">IF(ROUND((E10-88.2)/1.2,0)&lt;1,1,IF(ROUND((E10-88.2)/1.2,0)&gt;15,15,ROUND((E10-88.2)/1.2,0)))</f>
        <v>13</v>
      </c>
      <c r="H10" s="11" t="n">
        <f aca="false">C10&lt;D10</f>
        <v>0</v>
      </c>
      <c r="I10" s="12" t="n">
        <f aca="false">VLOOKUP(A10,FlowCal,3,0)</f>
        <v>411540.2</v>
      </c>
      <c r="L10" s="19" t="n">
        <f aca="false">IF(HLOOKUP(L$4,Envl,Envelope!A7,0)=0,L9,HLOOKUP(L$4,Envl,Envelope!A7,0))</f>
        <v>127.957083890026</v>
      </c>
      <c r="M10" s="13"/>
      <c r="N10" s="13"/>
      <c r="Y10" s="20" t="s">
        <v>15</v>
      </c>
      <c r="AF10" s="13"/>
      <c r="AG10" s="13"/>
    </row>
    <row r="11" customFormat="false" ht="15" hidden="false" customHeight="false" outlineLevel="0" collapsed="false">
      <c r="A11" s="5" t="str">
        <f aca="false">Input!K20</f>
        <v>1.10.1</v>
      </c>
      <c r="B11" s="14" t="n">
        <v>71.8741552947032</v>
      </c>
      <c r="C11" s="15" t="n">
        <v>87.6852171364913</v>
      </c>
      <c r="D11" s="15" t="n">
        <v>63.5134619029915</v>
      </c>
      <c r="E11" s="16" t="n">
        <v>100.669418334961</v>
      </c>
      <c r="F11" s="17" t="n">
        <v>43.8857485297852</v>
      </c>
      <c r="G11" s="10" t="n">
        <f aca="false">IF(ROUND((E11-88.2)/1.2,0)&lt;1,1,IF(ROUND((E11-88.2)/1.2,0)&gt;15,15,ROUND((E11-88.2)/1.2,0)))</f>
        <v>10</v>
      </c>
      <c r="H11" s="11" t="n">
        <f aca="false">C11&lt;D11</f>
        <v>0</v>
      </c>
      <c r="I11" s="12" t="n">
        <f aca="false">VLOOKUP(A11,FlowCal,3,0)</f>
        <v>279240.52</v>
      </c>
      <c r="L11" s="19" t="n">
        <f aca="false">IF(HLOOKUP(L$4,Envl,Envelope!A8,0)=0,L10,HLOOKUP(L$4,Envl,Envelope!A8,0))</f>
        <v>127.13504225802</v>
      </c>
      <c r="M11" s="13"/>
      <c r="N11" s="13"/>
      <c r="AG11" s="13"/>
    </row>
    <row r="12" customFormat="false" ht="15" hidden="false" customHeight="false" outlineLevel="0" collapsed="false">
      <c r="A12" s="5" t="str">
        <f aca="false">Input!L20</f>
        <v>2.02.6</v>
      </c>
      <c r="B12" s="14" t="n">
        <v>1152.686725567</v>
      </c>
      <c r="C12" s="15" t="n">
        <v>103.958267604457</v>
      </c>
      <c r="D12" s="15" t="n">
        <v>94.8250480927453</v>
      </c>
      <c r="E12" s="16" t="n">
        <v>97.182746887207</v>
      </c>
      <c r="F12" s="17" t="n">
        <v>43.512186449707</v>
      </c>
      <c r="G12" s="10" t="n">
        <f aca="false">IF(ROUND((E12-88.2)/1.2,0)&lt;1,1,IF(ROUND((E12-88.2)/1.2,0)&gt;15,15,ROUND((E12-88.2)/1.2,0)))</f>
        <v>7</v>
      </c>
      <c r="H12" s="11" t="n">
        <f aca="false">C12&lt;D12</f>
        <v>0</v>
      </c>
      <c r="I12" s="12" t="n">
        <f aca="false">VLOOKUP(A12,FlowCal,3,0)</f>
        <v>1151339.8</v>
      </c>
      <c r="L12" s="19" t="n">
        <f aca="false">IF(HLOOKUP(L$4,Envl,Envelope!A9,0)=0,L11,HLOOKUP(L$4,Envl,Envelope!A9,0))</f>
        <v>101.013720146337</v>
      </c>
      <c r="M12" s="13"/>
      <c r="N12" s="13"/>
      <c r="AG12" s="13"/>
    </row>
    <row r="13" customFormat="false" ht="15" hidden="false" customHeight="false" outlineLevel="0" collapsed="false">
      <c r="A13" s="5" t="str">
        <f aca="false">Input!M20</f>
        <v>2.02.7</v>
      </c>
      <c r="B13" s="14" t="n">
        <v>1152.59191602113</v>
      </c>
      <c r="C13" s="15" t="n">
        <v>103.970331203093</v>
      </c>
      <c r="D13" s="15" t="n">
        <v>94.832598871172</v>
      </c>
      <c r="E13" s="16" t="n">
        <v>97.1846923828125</v>
      </c>
      <c r="F13" s="17" t="n">
        <v>43.5123960163574</v>
      </c>
      <c r="G13" s="10" t="n">
        <f aca="false">IF(ROUND((E13-88.2)/1.2,0)&lt;1,1,IF(ROUND((E13-88.2)/1.2,0)&gt;15,15,ROUND((E13-88.2)/1.2,0)))</f>
        <v>7</v>
      </c>
      <c r="H13" s="11" t="n">
        <f aca="false">C13&lt;D13</f>
        <v>0</v>
      </c>
      <c r="I13" s="12" t="n">
        <f aca="false">VLOOKUP(A13,FlowCal,3,0)</f>
        <v>131184.94</v>
      </c>
      <c r="L13" s="19" t="n">
        <f aca="false">IF(HLOOKUP(L$4,Envl,Envelope!A10,0)=0,L12,HLOOKUP(L$4,Envl,Envelope!A10,0))</f>
        <v>82.3507494735589</v>
      </c>
      <c r="M13" s="13"/>
      <c r="N13" s="13"/>
      <c r="AG13" s="13"/>
    </row>
    <row r="14" customFormat="false" ht="15" hidden="false" customHeight="false" outlineLevel="0" collapsed="false">
      <c r="A14" s="5" t="str">
        <f aca="false">Input!N20</f>
        <v>2.03.1</v>
      </c>
      <c r="B14" s="14" t="n">
        <v>977.042301992486</v>
      </c>
      <c r="C14" s="15" t="n">
        <v>95.8978307126668</v>
      </c>
      <c r="D14" s="15" t="n">
        <v>91.8413223481057</v>
      </c>
      <c r="E14" s="16" t="n">
        <v>94.2840118408203</v>
      </c>
      <c r="F14" s="17" t="n">
        <v>43.2016162944336</v>
      </c>
      <c r="G14" s="10" t="n">
        <f aca="false">IF(ROUND((E14-88.2)/1.2,0)&lt;1,1,IF(ROUND((E14-88.2)/1.2,0)&gt;15,15,ROUND((E14-88.2)/1.2,0)))</f>
        <v>5</v>
      </c>
      <c r="H14" s="11" t="n">
        <f aca="false">C14&lt;D14</f>
        <v>0</v>
      </c>
      <c r="I14" s="12" t="n">
        <f aca="false">VLOOKUP(A14,FlowCal,3,0)</f>
        <v>346861.43</v>
      </c>
      <c r="L14" s="19" t="n">
        <f aca="false">IF(HLOOKUP(L$4,Envl,Envelope!A11,0)=0,L13,HLOOKUP(L$4,Envl,Envelope!A11,0))</f>
        <v>63.3153301726914</v>
      </c>
      <c r="M14" s="13"/>
      <c r="N14" s="13"/>
      <c r="AG14" s="13"/>
    </row>
    <row r="15" customFormat="false" ht="15" hidden="false" customHeight="false" outlineLevel="0" collapsed="false">
      <c r="A15" s="5" t="str">
        <f aca="false">Input!O20</f>
        <v>2.03.2</v>
      </c>
      <c r="B15" s="14" t="n">
        <v>13.9586288300894</v>
      </c>
      <c r="C15" s="15" t="n">
        <v>77.4445861539533</v>
      </c>
      <c r="D15" s="15" t="n">
        <v>-14.2531520315113</v>
      </c>
      <c r="E15" s="16" t="n">
        <v>21.5556602478027</v>
      </c>
      <c r="F15" s="17" t="n">
        <v>28.5538866799316</v>
      </c>
      <c r="G15" s="10" t="n">
        <f aca="false">IF(ROUND((E15-88.2)/1.2,0)&lt;1,1,IF(ROUND((E15-88.2)/1.2,0)&gt;15,15,ROUND((E15-88.2)/1.2,0)))</f>
        <v>1</v>
      </c>
      <c r="H15" s="11" t="n">
        <f aca="false">C15&lt;D15</f>
        <v>0</v>
      </c>
      <c r="I15" s="12" t="n">
        <f aca="false">VLOOKUP(A15,FlowCal,3,0)</f>
        <v>0</v>
      </c>
      <c r="L15" s="19" t="n">
        <f aca="false">IF(HLOOKUP(L$4,Envl,Envelope!A12,0)=0,L14,HLOOKUP(L$4,Envl,Envelope!A12,0))</f>
        <v>48.5362643361181</v>
      </c>
      <c r="M15" s="13"/>
      <c r="N15" s="13"/>
      <c r="Y15" s="21"/>
      <c r="AG15" s="13"/>
    </row>
    <row r="16" customFormat="false" ht="15" hidden="false" customHeight="false" outlineLevel="0" collapsed="false">
      <c r="A16" s="5" t="str">
        <f aca="false">Input!P20</f>
        <v>2.03.3</v>
      </c>
      <c r="B16" s="14" t="n">
        <v>978.056360050745</v>
      </c>
      <c r="C16" s="15" t="n">
        <v>98.7163792291282</v>
      </c>
      <c r="D16" s="15" t="n">
        <v>92.6045658441916</v>
      </c>
      <c r="E16" s="16" t="n">
        <v>95.3132476806641</v>
      </c>
      <c r="F16" s="17" t="n">
        <v>43.3118902658691</v>
      </c>
      <c r="G16" s="10" t="n">
        <f aca="false">IF(ROUND((E16-88.2)/1.2,0)&lt;1,1,IF(ROUND((E16-88.2)/1.2,0)&gt;15,15,ROUND((E16-88.2)/1.2,0)))</f>
        <v>6</v>
      </c>
      <c r="H16" s="11" t="n">
        <f aca="false">C16&lt;D16</f>
        <v>0</v>
      </c>
      <c r="I16" s="12" t="n">
        <f aca="false">VLOOKUP(A16,FlowCal,3,0)</f>
        <v>294377.62</v>
      </c>
      <c r="L16" s="19" t="n">
        <f aca="false">IF(HLOOKUP(L$4,Envl,Envelope!A13,0)=0,L15,HLOOKUP(L$4,Envl,Envelope!A13,0))</f>
        <v>45.1377810983033</v>
      </c>
      <c r="M16" s="13"/>
      <c r="N16" s="13"/>
      <c r="Y16" s="21"/>
      <c r="AG16" s="13"/>
    </row>
    <row r="17" customFormat="false" ht="15" hidden="false" customHeight="false" outlineLevel="0" collapsed="false">
      <c r="A17" s="5" t="str">
        <f aca="false">Input!Q20</f>
        <v>2.03.4</v>
      </c>
      <c r="B17" s="14" t="n">
        <v>184.203363110942</v>
      </c>
      <c r="C17" s="15" t="n">
        <v>77.8166707818226</v>
      </c>
      <c r="D17" s="15" t="n">
        <v>71.1335558972276</v>
      </c>
      <c r="E17" s="16" t="n">
        <v>95.3083877563477</v>
      </c>
      <c r="F17" s="17" t="n">
        <v>43.3113682543945</v>
      </c>
      <c r="G17" s="10" t="n">
        <f aca="false">IF(ROUND((E17-88.2)/1.2,0)&lt;1,1,IF(ROUND((E17-88.2)/1.2,0)&gt;15,15,ROUND((E17-88.2)/1.2,0)))</f>
        <v>6</v>
      </c>
      <c r="H17" s="11" t="n">
        <f aca="false">C17&lt;D17</f>
        <v>0</v>
      </c>
      <c r="I17" s="12" t="n">
        <f aca="false">VLOOKUP(A17,FlowCal,3,0)</f>
        <v>0</v>
      </c>
      <c r="L17" s="19" t="n">
        <f aca="false">IF(HLOOKUP(L$4,Envl,Envelope!A14,0)=0,L16,HLOOKUP(L$4,Envl,Envelope!A14,0))</f>
        <v>28.5057485027155</v>
      </c>
      <c r="M17" s="13"/>
      <c r="N17" s="13"/>
      <c r="Y17" s="21"/>
      <c r="AG17" s="13"/>
    </row>
    <row r="18" customFormat="false" ht="15" hidden="false" customHeight="false" outlineLevel="0" collapsed="false">
      <c r="A18" s="5" t="str">
        <f aca="false">Input!R20</f>
        <v>2.03.5</v>
      </c>
      <c r="B18" s="14" t="n">
        <v>945.909429324571</v>
      </c>
      <c r="C18" s="15" t="n">
        <v>76.9860555382185</v>
      </c>
      <c r="D18" s="15" t="n">
        <v>77.6381635015473</v>
      </c>
      <c r="E18" s="16" t="n">
        <v>91.9423446655273</v>
      </c>
      <c r="F18" s="17" t="n">
        <v>42.9507307211914</v>
      </c>
      <c r="G18" s="10" t="n">
        <f aca="false">IF(ROUND((E18-88.2)/1.2,0)&lt;1,1,IF(ROUND((E18-88.2)/1.2,0)&gt;15,15,ROUND((E18-88.2)/1.2,0)))</f>
        <v>3</v>
      </c>
      <c r="H18" s="11" t="n">
        <f aca="false">C18&lt;D18</f>
        <v>1</v>
      </c>
      <c r="I18" s="12" t="n">
        <f aca="false">VLOOKUP(A18,FlowCal,3,0)</f>
        <v>0</v>
      </c>
      <c r="L18" s="19" t="n">
        <f aca="false">IF(HLOOKUP(L$4,Envl,Envelope!A15,0)=0,L17,HLOOKUP(L$4,Envl,Envelope!A15,0))</f>
        <v>13.7407755801335</v>
      </c>
      <c r="M18" s="13"/>
      <c r="N18" s="13"/>
      <c r="AG18" s="13"/>
    </row>
    <row r="19" customFormat="false" ht="15" hidden="false" customHeight="false" outlineLevel="0" collapsed="false">
      <c r="A19" s="5" t="str">
        <f aca="false">Input!S20</f>
        <v>2.03.6</v>
      </c>
      <c r="B19" s="14" t="n">
        <v>975.91517588566</v>
      </c>
      <c r="C19" s="15" t="n">
        <v>74.9318121595437</v>
      </c>
      <c r="D19" s="15" t="n">
        <v>76.8699329613052</v>
      </c>
      <c r="E19" s="16" t="n">
        <v>91.1928634643555</v>
      </c>
      <c r="F19" s="17" t="n">
        <v>42.8704285910645</v>
      </c>
      <c r="G19" s="10" t="n">
        <f aca="false">IF(ROUND((E19-88.2)/1.2,0)&lt;1,1,IF(ROUND((E19-88.2)/1.2,0)&gt;15,15,ROUND((E19-88.2)/1.2,0)))</f>
        <v>2</v>
      </c>
      <c r="H19" s="11" t="n">
        <f aca="false">C19&lt;D19</f>
        <v>1</v>
      </c>
      <c r="I19" s="12" t="n">
        <f aca="false">VLOOKUP(A19,FlowCal,3,0)</f>
        <v>45361.55</v>
      </c>
      <c r="L19" s="19" t="n">
        <f aca="false">IF(HLOOKUP(L$4,Envl,Envelope!A16,0)=0,L18,HLOOKUP(L$4,Envl,Envelope!A16,0))</f>
        <v>0.912396642445941</v>
      </c>
      <c r="M19" s="13"/>
      <c r="N19" s="13"/>
      <c r="Y19" s="4" t="n">
        <v>0</v>
      </c>
      <c r="AG19" s="13"/>
    </row>
    <row r="20" customFormat="false" ht="15" hidden="false" customHeight="false" outlineLevel="0" collapsed="false">
      <c r="A20" s="5" t="str">
        <f aca="false">Input!T20</f>
        <v>2.03.7</v>
      </c>
      <c r="B20" s="14" t="n">
        <v>965.560787038263</v>
      </c>
      <c r="C20" s="15" t="n">
        <v>97.7972614856566</v>
      </c>
      <c r="D20" s="15" t="n">
        <v>84.0132658853952</v>
      </c>
      <c r="E20" s="16" t="n">
        <v>99.2050247192383</v>
      </c>
      <c r="F20" s="17" t="n">
        <v>43.7288516940918</v>
      </c>
      <c r="G20" s="10" t="n">
        <f aca="false">IF(ROUND((E20-88.2)/1.2,0)&lt;1,1,IF(ROUND((E20-88.2)/1.2,0)&gt;15,15,ROUND((E20-88.2)/1.2,0)))</f>
        <v>9</v>
      </c>
      <c r="H20" s="11" t="n">
        <f aca="false">C20&lt;D20</f>
        <v>0</v>
      </c>
      <c r="I20" s="12" t="n">
        <f aca="false">VLOOKUP(A20,FlowCal,3,0)</f>
        <v>164104.08</v>
      </c>
      <c r="L20" s="19" t="n">
        <f aca="false">IF(HLOOKUP(L$4,Envl,Envelope!A17,0)=0,L19,HLOOKUP(L$4,Envl,Envelope!A17,0))</f>
        <v>-10.0765082915997</v>
      </c>
      <c r="M20" s="13"/>
      <c r="N20" s="13"/>
      <c r="Y20" s="4" t="n">
        <v>0</v>
      </c>
      <c r="AG20" s="13"/>
    </row>
    <row r="21" customFormat="false" ht="15.75" hidden="false" customHeight="true" outlineLevel="0" collapsed="false">
      <c r="A21" s="5" t="str">
        <f aca="false">Input!U20</f>
        <v>2.03.8</v>
      </c>
      <c r="B21" s="14" t="n">
        <v>46.0765275391199</v>
      </c>
      <c r="C21" s="15" t="n">
        <v>105.669454554076</v>
      </c>
      <c r="D21" s="15" t="n">
        <v>13.6167595006763</v>
      </c>
      <c r="E21" s="16" t="n">
        <v>127.966087341309</v>
      </c>
      <c r="F21" s="17" t="n">
        <v>46.8103159111328</v>
      </c>
      <c r="G21" s="10" t="n">
        <f aca="false">IF(ROUND((E21-88.2)/1.2,0)&lt;1,1,IF(ROUND((E21-88.2)/1.2,0)&gt;15,15,ROUND((E21-88.2)/1.2,0)))</f>
        <v>15</v>
      </c>
      <c r="H21" s="11" t="n">
        <f aca="false">C21&lt;D21</f>
        <v>0</v>
      </c>
      <c r="I21" s="12" t="n">
        <f aca="false">VLOOKUP(A21,FlowCal,3,0)</f>
        <v>0</v>
      </c>
      <c r="L21" s="19" t="n">
        <f aca="false">IF(HLOOKUP(L$4,Envl,Envelope!A18,0)=0,L20,HLOOKUP(L$4,Envl,Envelope!A18,0))</f>
        <v>-16.5550582184878</v>
      </c>
      <c r="M21" s="13"/>
      <c r="N21" s="13"/>
      <c r="Y21" s="4" t="n">
        <v>0</v>
      </c>
      <c r="AG21" s="13"/>
    </row>
    <row r="22" customFormat="false" ht="15.75" hidden="false" customHeight="true" outlineLevel="0" collapsed="false">
      <c r="A22" s="5" t="str">
        <f aca="false">Input!V20</f>
        <v>2.03.9</v>
      </c>
      <c r="B22" s="14" t="n">
        <v>989.166348175679</v>
      </c>
      <c r="C22" s="15" t="n">
        <v>94.4882714358941</v>
      </c>
      <c r="D22" s="15" t="n">
        <v>93.0692002985631</v>
      </c>
      <c r="E22" s="16" t="n">
        <v>93.1354293823242</v>
      </c>
      <c r="F22" s="17" t="n">
        <v>43.0785587573242</v>
      </c>
      <c r="G22" s="10" t="n">
        <f aca="false">IF(ROUND((E22-88.2)/1.2,0)&lt;1,1,IF(ROUND((E22-88.2)/1.2,0)&gt;15,15,ROUND((E22-88.2)/1.2,0)))</f>
        <v>4</v>
      </c>
      <c r="H22" s="11" t="n">
        <f aca="false">C22&lt;D22</f>
        <v>0</v>
      </c>
      <c r="I22" s="12" t="n">
        <f aca="false">VLOOKUP(A22,FlowCal,3,0)</f>
        <v>815353.24</v>
      </c>
      <c r="L22" s="22" t="n">
        <f aca="false">HLOOKUP(L$4,Envl,Envelope!A19,0)</f>
        <v>14.695889905</v>
      </c>
      <c r="M22" s="13"/>
      <c r="N22" s="13"/>
      <c r="Y22" s="4" t="n">
        <v>0</v>
      </c>
      <c r="AG22" s="13"/>
    </row>
    <row r="23" customFormat="false" ht="15.75" hidden="false" customHeight="true" outlineLevel="0" collapsed="false">
      <c r="A23" s="5" t="str">
        <f aca="false">Input!W20</f>
        <v>2.05.1</v>
      </c>
      <c r="B23" s="14" t="n">
        <v>1038.17373472406</v>
      </c>
      <c r="C23" s="15" t="n">
        <v>87.138526581894</v>
      </c>
      <c r="D23" s="15" t="n">
        <v>86.9334827007577</v>
      </c>
      <c r="E23" s="16" t="n">
        <v>92.4520874023438</v>
      </c>
      <c r="F23" s="17" t="n">
        <v>43.0053437902832</v>
      </c>
      <c r="G23" s="10" t="n">
        <f aca="false">IF(ROUND((E23-88.2)/1.2,0)&lt;1,1,IF(ROUND((E23-88.2)/1.2,0)&gt;15,15,ROUND((E23-88.2)/1.2,0)))</f>
        <v>4</v>
      </c>
      <c r="H23" s="11" t="n">
        <f aca="false">C23&lt;D23</f>
        <v>0</v>
      </c>
      <c r="I23" s="12" t="n">
        <f aca="false">VLOOKUP(A23,FlowCal,3,0)</f>
        <v>126383.28</v>
      </c>
      <c r="L23" s="22" t="n">
        <f aca="false">IF(HLOOKUP(L$4,Envl,Envelope!A20,0)=0,L22,HLOOKUP(L$4,Envl,Envelope!A20,0))</f>
        <v>47.5266314171629</v>
      </c>
      <c r="M23" s="13"/>
      <c r="N23" s="13"/>
      <c r="Y23" s="4" t="n">
        <v>0</v>
      </c>
      <c r="AG23" s="13"/>
    </row>
    <row r="24" customFormat="false" ht="15.75" hidden="false" customHeight="true" outlineLevel="0" collapsed="false">
      <c r="A24" s="5" t="str">
        <f aca="false">Input!X20</f>
        <v>2.05.5</v>
      </c>
      <c r="B24" s="14" t="n">
        <v>13.6736551548845</v>
      </c>
      <c r="C24" s="15" t="n">
        <v>79.194365978241</v>
      </c>
      <c r="D24" s="15" t="n">
        <v>-14.6957373756145</v>
      </c>
      <c r="E24" s="16" t="n">
        <v>23.5365467071533</v>
      </c>
      <c r="F24" s="17" t="n">
        <v>29.0318758218994</v>
      </c>
      <c r="G24" s="10" t="n">
        <f aca="false">IF(ROUND((E24-88.2)/1.2,0)&lt;1,1,IF(ROUND((E24-88.2)/1.2,0)&gt;15,15,ROUND((E24-88.2)/1.2,0)))</f>
        <v>1</v>
      </c>
      <c r="H24" s="11" t="n">
        <f aca="false">C24&lt;D24</f>
        <v>0</v>
      </c>
      <c r="I24" s="12" t="n">
        <f aca="false">VLOOKUP(A24,FlowCal,3,0)</f>
        <v>0</v>
      </c>
      <c r="L24" s="22" t="n">
        <f aca="false">IF(HLOOKUP(L$4,Envl,Envelope!A21,0)=0,L23,HLOOKUP(L$4,Envl,Envelope!A21,0))</f>
        <v>114.80313588875</v>
      </c>
      <c r="M24" s="13"/>
      <c r="N24" s="13"/>
      <c r="Y24" s="4" t="n">
        <v>0</v>
      </c>
      <c r="AG24" s="13"/>
    </row>
    <row r="25" customFormat="false" ht="15.75" hidden="false" customHeight="true" outlineLevel="0" collapsed="false">
      <c r="A25" s="5" t="str">
        <f aca="false">Input!Y20</f>
        <v>2.07.1</v>
      </c>
      <c r="B25" s="14" t="n">
        <v>71.1374473111294</v>
      </c>
      <c r="C25" s="15" t="n">
        <v>79.980892128898</v>
      </c>
      <c r="D25" s="15" t="n">
        <v>66.469292860309</v>
      </c>
      <c r="E25" s="16" t="n">
        <v>97.2696380615234</v>
      </c>
      <c r="F25" s="17" t="n">
        <v>43.5214950192871</v>
      </c>
      <c r="G25" s="10" t="n">
        <f aca="false">IF(ROUND((E25-88.2)/1.2,0)&lt;1,1,IF(ROUND((E25-88.2)/1.2,0)&gt;15,15,ROUND((E25-88.2)/1.2,0)))</f>
        <v>8</v>
      </c>
      <c r="H25" s="11" t="n">
        <f aca="false">C25&lt;D25</f>
        <v>0</v>
      </c>
      <c r="I25" s="12" t="n">
        <f aca="false">VLOOKUP(A25,FlowCal,3,0)</f>
        <v>14399.14</v>
      </c>
      <c r="L25" s="22" t="n">
        <f aca="false">IF(HLOOKUP(L$4,Envl,Envelope!A22,0)=0,L24,HLOOKUP(L$4,Envl,Envelope!A22,0))</f>
        <v>248.485253330064</v>
      </c>
      <c r="M25" s="13"/>
      <c r="N25" s="13"/>
      <c r="Y25" s="4" t="n">
        <v>0</v>
      </c>
      <c r="AG25" s="13"/>
    </row>
    <row r="26" customFormat="false" ht="15.75" hidden="false" customHeight="true" outlineLevel="0" collapsed="false">
      <c r="A26" s="5" t="str">
        <f aca="false">Input!Z20</f>
        <v>2.07.2</v>
      </c>
      <c r="B26" s="14" t="n">
        <v>77.2879731657529</v>
      </c>
      <c r="C26" s="15" t="n">
        <v>90.7630518904569</v>
      </c>
      <c r="D26" s="15" t="n">
        <v>83.7746455807159</v>
      </c>
      <c r="E26" s="16" t="n">
        <v>95.1422424316406</v>
      </c>
      <c r="F26" s="17" t="n">
        <v>43.2935665200195</v>
      </c>
      <c r="G26" s="10" t="n">
        <f aca="false">IF(ROUND((E26-88.2)/1.2,0)&lt;1,1,IF(ROUND((E26-88.2)/1.2,0)&gt;15,15,ROUND((E26-88.2)/1.2,0)))</f>
        <v>6</v>
      </c>
      <c r="H26" s="11" t="n">
        <f aca="false">C26&lt;D26</f>
        <v>0</v>
      </c>
      <c r="I26" s="12" t="n">
        <f aca="false">VLOOKUP(A26,FlowCal,3,0)</f>
        <v>29648.04</v>
      </c>
      <c r="L26" s="22" t="n">
        <f aca="false">IF(HLOOKUP(L$4,Envl,Envelope!A23,0)=0,L25,HLOOKUP(L$4,Envl,Envelope!A23,0))</f>
        <v>501.717820721373</v>
      </c>
      <c r="M26" s="13"/>
      <c r="N26" s="13"/>
      <c r="AG26" s="13"/>
    </row>
    <row r="27" customFormat="false" ht="15.75" hidden="false" customHeight="true" outlineLevel="0" collapsed="false">
      <c r="A27" s="5" t="str">
        <f aca="false">Input!AA20</f>
        <v>2.10.1</v>
      </c>
      <c r="B27" s="14" t="n">
        <v>80</v>
      </c>
      <c r="C27" s="15" t="n">
        <v>117.5</v>
      </c>
      <c r="D27" s="15" t="n">
        <v>169.662448416252</v>
      </c>
      <c r="E27" s="16" t="n">
        <v>93</v>
      </c>
      <c r="F27" s="17" t="n">
        <v>43</v>
      </c>
      <c r="G27" s="10" t="n">
        <f aca="false">IF(ROUND((E27-88.2)/1.2,0)&lt;1,1,IF(ROUND((E27-88.2)/1.2,0)&gt;15,15,ROUND((E27-88.2)/1.2,0)))</f>
        <v>4</v>
      </c>
      <c r="H27" s="11" t="n">
        <f aca="false">C27&lt;D27</f>
        <v>1</v>
      </c>
      <c r="I27" s="12" t="e">
        <f aca="false">VLOOKUP(A27,FlowCal,3,0)</f>
        <v>#N/A</v>
      </c>
      <c r="L27" s="22" t="n">
        <f aca="false">IF(HLOOKUP(L$4,Envl,Envelope!A24,0)=0,L26,HLOOKUP(L$4,Envl,Envelope!A24,0))</f>
        <v>812.516458047903</v>
      </c>
      <c r="M27" s="13"/>
      <c r="N27" s="13"/>
      <c r="Y27" s="4" t="n">
        <v>0</v>
      </c>
      <c r="AG27" s="13"/>
    </row>
    <row r="28" customFormat="false" ht="15.75" hidden="false" customHeight="true" outlineLevel="0" collapsed="false">
      <c r="A28" s="5" t="str">
        <f aca="false">Input!AB20</f>
        <v>2.10.10</v>
      </c>
      <c r="B28" s="14" t="n">
        <v>92.4391822175048</v>
      </c>
      <c r="C28" s="15" t="n">
        <v>93.1365001657748</v>
      </c>
      <c r="D28" s="15" t="n">
        <v>65.5993298898396</v>
      </c>
      <c r="E28" s="16" t="n">
        <v>102.093704223633</v>
      </c>
      <c r="F28" s="17" t="n">
        <v>44.0383473439941</v>
      </c>
      <c r="G28" s="10" t="n">
        <f aca="false">IF(ROUND((E28-88.2)/1.2,0)&lt;1,1,IF(ROUND((E28-88.2)/1.2,0)&gt;15,15,ROUND((E28-88.2)/1.2,0)))</f>
        <v>12</v>
      </c>
      <c r="H28" s="11" t="n">
        <f aca="false">C28&lt;D28</f>
        <v>0</v>
      </c>
      <c r="I28" s="12" t="n">
        <f aca="false">VLOOKUP(A28,FlowCal,3,0)</f>
        <v>786056.19</v>
      </c>
      <c r="L28" s="22" t="n">
        <f aca="false">IF(HLOOKUP(L$4,Envl,Envelope!A25,0)=0,L27,HLOOKUP(L$4,Envl,Envelope!A25,0))</f>
        <v>939.902048405753</v>
      </c>
      <c r="M28" s="13"/>
      <c r="N28" s="13"/>
      <c r="Y28" s="4" t="n">
        <v>0</v>
      </c>
      <c r="AG28" s="13"/>
    </row>
    <row r="29" customFormat="false" ht="15.75" hidden="false" customHeight="true" outlineLevel="0" collapsed="false">
      <c r="A29" s="5" t="str">
        <f aca="false">Input!AC20</f>
        <v>2.10.11</v>
      </c>
      <c r="B29" s="14" t="n">
        <v>47.3303692212669</v>
      </c>
      <c r="C29" s="15" t="n">
        <v>82.1364990203612</v>
      </c>
      <c r="D29" s="15" t="n">
        <v>33.862349407044</v>
      </c>
      <c r="E29" s="16" t="n">
        <v>109.952651977539</v>
      </c>
      <c r="F29" s="17" t="n">
        <v>44.8803556628418</v>
      </c>
      <c r="G29" s="10" t="n">
        <f aca="false">IF(ROUND((E29-88.2)/1.2,0)&lt;1,1,IF(ROUND((E29-88.2)/1.2,0)&gt;15,15,ROUND((E29-88.2)/1.2,0)))</f>
        <v>15</v>
      </c>
      <c r="H29" s="11" t="n">
        <f aca="false">C29&lt;D29</f>
        <v>0</v>
      </c>
      <c r="I29" s="12" t="n">
        <f aca="false">VLOOKUP(A29,FlowCal,3,0)</f>
        <v>0</v>
      </c>
      <c r="L29" s="22" t="n">
        <f aca="false">IF(HLOOKUP(L$4,Envl,Envelope!A26,0)=0,L28,HLOOKUP(L$4,Envl,Envelope!A26,0))</f>
        <v>1531.54667685772</v>
      </c>
      <c r="M29" s="13"/>
      <c r="N29" s="13"/>
      <c r="Y29" s="4" t="n">
        <v>0</v>
      </c>
      <c r="AG29" s="13"/>
    </row>
    <row r="30" customFormat="false" ht="15.75" hidden="false" customHeight="true" outlineLevel="0" collapsed="false">
      <c r="A30" s="5" t="str">
        <f aca="false">Input!AD20</f>
        <v>2.10.12</v>
      </c>
      <c r="B30" s="14" t="n">
        <v>76.9074506929402</v>
      </c>
      <c r="C30" s="15" t="n">
        <v>87.6471195839257</v>
      </c>
      <c r="D30" s="15" t="n">
        <v>49.8133498936537</v>
      </c>
      <c r="E30" s="16" t="n">
        <v>106.12922668457</v>
      </c>
      <c r="F30" s="17" t="n">
        <v>44.4707138261719</v>
      </c>
      <c r="G30" s="10" t="n">
        <f aca="false">IF(ROUND((E30-88.2)/1.2,0)&lt;1,1,IF(ROUND((E30-88.2)/1.2,0)&gt;15,15,ROUND((E30-88.2)/1.2,0)))</f>
        <v>15</v>
      </c>
      <c r="H30" s="11" t="n">
        <f aca="false">C30&lt;D30</f>
        <v>0</v>
      </c>
      <c r="I30" s="12" t="n">
        <f aca="false">VLOOKUP(A30,FlowCal,3,0)</f>
        <v>325254.55</v>
      </c>
      <c r="L30" s="22" t="n">
        <f aca="false">IF(HLOOKUP(L$4,Envl,Envelope!A27,0)=0,L29,HLOOKUP(L$4,Envl,Envelope!A27,0))</f>
        <v>1691.42138434594</v>
      </c>
      <c r="M30" s="13"/>
      <c r="N30" s="13"/>
      <c r="Y30" s="4" t="n">
        <v>0</v>
      </c>
      <c r="AG30" s="13"/>
    </row>
    <row r="31" customFormat="false" ht="15.75" hidden="false" customHeight="true" outlineLevel="0" collapsed="false">
      <c r="A31" s="5" t="str">
        <f aca="false">Input!AE20</f>
        <v>2.10.13</v>
      </c>
      <c r="B31" s="14" t="n">
        <v>80.3037823893195</v>
      </c>
      <c r="C31" s="15" t="n">
        <v>95.1078334775595</v>
      </c>
      <c r="D31" s="15" t="n">
        <v>59.6019395112047</v>
      </c>
      <c r="E31" s="16" t="n">
        <v>105.322151184082</v>
      </c>
      <c r="F31" s="17" t="n">
        <v>44.384242815918</v>
      </c>
      <c r="G31" s="10" t="n">
        <f aca="false">IF(ROUND((E31-88.2)/1.2,0)&lt;1,1,IF(ROUND((E31-88.2)/1.2,0)&gt;15,15,ROUND((E31-88.2)/1.2,0)))</f>
        <v>14</v>
      </c>
      <c r="H31" s="11" t="n">
        <f aca="false">C31&lt;D31</f>
        <v>0</v>
      </c>
      <c r="I31" s="12" t="n">
        <f aca="false">VLOOKUP(A31,FlowCal,3,0)</f>
        <v>166498.74</v>
      </c>
      <c r="L31" s="22" t="n">
        <f aca="false">IF(HLOOKUP(L$4,Envl,Envelope!A28,0)=0,L30,HLOOKUP(L$4,Envl,Envelope!A28,0))</f>
        <v>1771.43407407046</v>
      </c>
      <c r="M31" s="13"/>
      <c r="N31" s="13"/>
      <c r="Y31" s="4" t="n">
        <v>0</v>
      </c>
      <c r="AG31" s="13"/>
    </row>
    <row r="32" customFormat="false" ht="15.75" hidden="false" customHeight="true" outlineLevel="0" collapsed="false">
      <c r="A32" s="5" t="str">
        <f aca="false">Input!AF20</f>
        <v>2.10.2</v>
      </c>
      <c r="B32" s="14" t="n">
        <v>79.5285223220425</v>
      </c>
      <c r="C32" s="15" t="n">
        <v>87.8186506354005</v>
      </c>
      <c r="D32" s="15" t="n">
        <v>52.3994222014336</v>
      </c>
      <c r="E32" s="16" t="n">
        <v>105.111404418945</v>
      </c>
      <c r="F32" s="17" t="n">
        <v>44.3616629619141</v>
      </c>
      <c r="G32" s="10" t="n">
        <f aca="false">IF(ROUND((E32-88.2)/1.2,0)&lt;1,1,IF(ROUND((E32-88.2)/1.2,0)&gt;15,15,ROUND((E32-88.2)/1.2,0)))</f>
        <v>14</v>
      </c>
      <c r="H32" s="11" t="n">
        <f aca="false">C32&lt;D32</f>
        <v>0</v>
      </c>
      <c r="I32" s="12" t="n">
        <f aca="false">VLOOKUP(A32,FlowCal,3,0)</f>
        <v>397018.39</v>
      </c>
      <c r="L32" s="22" t="n">
        <f aca="false">IF(HLOOKUP(L$4,Envl,Envelope!A29,0)=0,L31,HLOOKUP(L$4,Envl,Envelope!A29,0))</f>
        <v>1788.95952762403</v>
      </c>
      <c r="M32" s="13"/>
      <c r="N32" s="13"/>
      <c r="AG32" s="13"/>
    </row>
    <row r="33" customFormat="false" ht="15.75" hidden="false" customHeight="true" outlineLevel="0" collapsed="false">
      <c r="A33" s="5" t="str">
        <f aca="false">Input!AG20</f>
        <v>2.10.4</v>
      </c>
      <c r="B33" s="14" t="n">
        <v>66.506085676504</v>
      </c>
      <c r="C33" s="15" t="n">
        <v>93.7986342383159</v>
      </c>
      <c r="D33" s="15" t="n">
        <v>48.6612640231287</v>
      </c>
      <c r="E33" s="16" t="n">
        <v>108.466773986816</v>
      </c>
      <c r="F33" s="17" t="n">
        <v>44.7211574042969</v>
      </c>
      <c r="G33" s="10" t="n">
        <f aca="false">IF(ROUND((E33-88.2)/1.2,0)&lt;1,1,IF(ROUND((E33-88.2)/1.2,0)&gt;15,15,ROUND((E33-88.2)/1.2,0)))</f>
        <v>15</v>
      </c>
      <c r="H33" s="11" t="n">
        <f aca="false">C33&lt;D33</f>
        <v>0</v>
      </c>
      <c r="I33" s="12" t="n">
        <f aca="false">VLOOKUP(A33,FlowCal,3,0)</f>
        <v>287535.81</v>
      </c>
      <c r="L33" s="22" t="n">
        <f aca="false">IF(HLOOKUP(L$4,Envl,Envelope!A30,0)=0,L32,HLOOKUP(L$4,Envl,Envelope!A30,0))</f>
        <v>1788.07914860376</v>
      </c>
      <c r="M33" s="13"/>
      <c r="N33" s="13"/>
      <c r="AG33" s="13"/>
    </row>
    <row r="34" customFormat="false" ht="15.75" hidden="false" customHeight="true" outlineLevel="0" collapsed="false">
      <c r="A34" s="5" t="str">
        <f aca="false">Input!AH20</f>
        <v>2.10.5</v>
      </c>
      <c r="B34" s="14" t="n">
        <v>69.6057037655324</v>
      </c>
      <c r="C34" s="15" t="n">
        <v>74.5389554167065</v>
      </c>
      <c r="D34" s="15" t="n">
        <v>38.2865021837506</v>
      </c>
      <c r="E34" s="16" t="n">
        <v>105.710586547852</v>
      </c>
      <c r="F34" s="17" t="n">
        <v>44.4258589423828</v>
      </c>
      <c r="G34" s="10" t="n">
        <f aca="false">IF(ROUND((E34-88.2)/1.2,0)&lt;1,1,IF(ROUND((E34-88.2)/1.2,0)&gt;15,15,ROUND((E34-88.2)/1.2,0)))</f>
        <v>15</v>
      </c>
      <c r="H34" s="11" t="n">
        <f aca="false">C34&lt;D34</f>
        <v>0</v>
      </c>
      <c r="I34" s="12" t="n">
        <f aca="false">VLOOKUP(A34,FlowCal,3,0)</f>
        <v>260982.1</v>
      </c>
      <c r="L34" s="22" t="n">
        <f aca="false">IF(HLOOKUP(L$4,Envl,Envelope!A31,0)=0,L33,HLOOKUP(L$4,Envl,Envelope!A31,0))</f>
        <v>1759.33006595291</v>
      </c>
      <c r="M34" s="13"/>
      <c r="N34" s="13"/>
      <c r="AG34" s="13"/>
    </row>
    <row r="35" customFormat="false" ht="15.75" hidden="false" customHeight="true" outlineLevel="0" collapsed="false">
      <c r="A35" s="5" t="str">
        <f aca="false">Input!AI20</f>
        <v>2.10.6</v>
      </c>
      <c r="B35" s="14" t="n">
        <v>86.9701735366163</v>
      </c>
      <c r="C35" s="15" t="n">
        <v>94.5263672644228</v>
      </c>
      <c r="D35" s="15" t="n">
        <v>64.6727776392839</v>
      </c>
      <c r="E35" s="16" t="n">
        <v>102.92756652832</v>
      </c>
      <c r="F35" s="17" t="n">
        <v>44.127687512207</v>
      </c>
      <c r="G35" s="10" t="n">
        <f aca="false">IF(ROUND((E35-88.2)/1.2,0)&lt;1,1,IF(ROUND((E35-88.2)/1.2,0)&gt;15,15,ROUND((E35-88.2)/1.2,0)))</f>
        <v>12</v>
      </c>
      <c r="H35" s="11" t="n">
        <f aca="false">C35&lt;D35</f>
        <v>0</v>
      </c>
      <c r="I35" s="12" t="n">
        <f aca="false">VLOOKUP(A35,FlowCal,3,0)</f>
        <v>390995.13</v>
      </c>
      <c r="L35" s="22" t="n">
        <f aca="false">IF(HLOOKUP(L$4,Envl,Envelope!A32,0)=0,L34,HLOOKUP(L$4,Envl,Envelope!A32,0))</f>
        <v>1701.82785176862</v>
      </c>
      <c r="M35" s="13"/>
      <c r="N35" s="13"/>
      <c r="AG35" s="13"/>
    </row>
    <row r="36" customFormat="false" ht="15.75" hidden="false" customHeight="true" outlineLevel="0" collapsed="false">
      <c r="A36" s="5" t="str">
        <f aca="false">Input!AJ20</f>
        <v>2.10.7</v>
      </c>
      <c r="B36" s="14" t="n">
        <v>86.6335211499817</v>
      </c>
      <c r="C36" s="15" t="n">
        <v>94.319810597109</v>
      </c>
      <c r="D36" s="15" t="n">
        <v>64.5357590744521</v>
      </c>
      <c r="E36" s="16" t="n">
        <v>102.903259277344</v>
      </c>
      <c r="F36" s="17" t="n">
        <v>44.1250812651367</v>
      </c>
      <c r="G36" s="10" t="n">
        <f aca="false">IF(ROUND((E36-88.2)/1.2,0)&lt;1,1,IF(ROUND((E36-88.2)/1.2,0)&gt;15,15,ROUND((E36-88.2)/1.2,0)))</f>
        <v>12</v>
      </c>
      <c r="H36" s="11" t="n">
        <f aca="false">C36&lt;D36</f>
        <v>0</v>
      </c>
      <c r="I36" s="12" t="n">
        <f aca="false">VLOOKUP(A36,FlowCal,3,0)</f>
        <v>475522.56</v>
      </c>
      <c r="L36" s="22" t="n">
        <f aca="false">IF(HLOOKUP(L$4,Envl,Envelope!A33,0)=0,L35,HLOOKUP(L$4,Envl,Envelope!A33,0))</f>
        <v>1629.18489800973</v>
      </c>
      <c r="M36" s="13"/>
      <c r="N36" s="13"/>
      <c r="AG36" s="13"/>
    </row>
    <row r="37" customFormat="false" ht="15.75" hidden="false" customHeight="true" outlineLevel="0" collapsed="false">
      <c r="A37" s="5" t="str">
        <f aca="false">Input!AK20</f>
        <v>2.10.8</v>
      </c>
      <c r="B37" s="14" t="n">
        <v>69.5052915715093</v>
      </c>
      <c r="C37" s="15" t="n">
        <v>73.0207136120128</v>
      </c>
      <c r="D37" s="15" t="n">
        <v>33.8592758101665</v>
      </c>
      <c r="E37" s="16" t="n">
        <v>107.201774597168</v>
      </c>
      <c r="F37" s="17" t="n">
        <v>44.5856249360352</v>
      </c>
      <c r="G37" s="10" t="n">
        <f aca="false">IF(ROUND((E37-88.2)/1.2,0)&lt;1,1,IF(ROUND((E37-88.2)/1.2,0)&gt;15,15,ROUND((E37-88.2)/1.2,0)))</f>
        <v>15</v>
      </c>
      <c r="H37" s="11" t="n">
        <f aca="false">C37&lt;D37</f>
        <v>0</v>
      </c>
      <c r="I37" s="12" t="n">
        <f aca="false">VLOOKUP(A37,FlowCal,3,0)</f>
        <v>131921.42</v>
      </c>
      <c r="L37" s="22" t="n">
        <f aca="false">IF(HLOOKUP(L$4,Envl,Envelope!A34,0)=0,L36,HLOOKUP(L$4,Envl,Envelope!A34,0))</f>
        <v>1551.32089845112</v>
      </c>
      <c r="M37" s="13"/>
      <c r="N37" s="13"/>
      <c r="AF37" s="13"/>
      <c r="AG37" s="13"/>
    </row>
    <row r="38" customFormat="false" ht="15.75" hidden="false" customHeight="true" outlineLevel="0" collapsed="false">
      <c r="A38" s="5" t="str">
        <f aca="false">Input!AL20</f>
        <v>2.10.9</v>
      </c>
      <c r="B38" s="14" t="n">
        <v>81.9916443128791</v>
      </c>
      <c r="C38" s="15" t="n">
        <v>88.0177497623365</v>
      </c>
      <c r="D38" s="15" t="n">
        <v>43.8838843994091</v>
      </c>
      <c r="E38" s="16" t="n">
        <v>109.06526184082</v>
      </c>
      <c r="F38" s="17" t="n">
        <v>44.7852809890137</v>
      </c>
      <c r="G38" s="10" t="n">
        <f aca="false">IF(ROUND((E38-88.2)/1.2,0)&lt;1,1,IF(ROUND((E38-88.2)/1.2,0)&gt;15,15,ROUND((E38-88.2)/1.2,0)))</f>
        <v>15</v>
      </c>
      <c r="H38" s="11" t="n">
        <f aca="false">C38&lt;D38</f>
        <v>0</v>
      </c>
      <c r="I38" s="12" t="n">
        <f aca="false">VLOOKUP(A38,FlowCal,3,0)</f>
        <v>522485.52</v>
      </c>
      <c r="L38" s="22" t="n">
        <f aca="false">IF(HLOOKUP(L$4,Envl,Envelope!A35,0)=0,L37,HLOOKUP(L$4,Envl,Envelope!A35,0))</f>
        <v>1499.1181508608</v>
      </c>
      <c r="M38" s="13"/>
      <c r="N38" s="13"/>
      <c r="AF38" s="13"/>
      <c r="AG38" s="13"/>
    </row>
    <row r="39" customFormat="false" ht="15.75" hidden="false" customHeight="true" outlineLevel="0" collapsed="false">
      <c r="A39" s="5" t="str">
        <f aca="false">Input!AM20</f>
        <v>2.11.2</v>
      </c>
      <c r="B39" s="14" t="n">
        <v>54.6667374019693</v>
      </c>
      <c r="C39" s="15" t="n">
        <v>83.7578652637491</v>
      </c>
      <c r="D39" s="15" t="n">
        <v>29.4117751907837</v>
      </c>
      <c r="E39" s="16" t="n">
        <v>112.110847473145</v>
      </c>
      <c r="F39" s="17" t="n">
        <v>45.1115838842773</v>
      </c>
      <c r="G39" s="10" t="n">
        <f aca="false">IF(ROUND((E39-88.2)/1.2,0)&lt;1,1,IF(ROUND((E39-88.2)/1.2,0)&gt;15,15,ROUND((E39-88.2)/1.2,0)))</f>
        <v>15</v>
      </c>
      <c r="H39" s="11" t="n">
        <f aca="false">C39&lt;D39</f>
        <v>0</v>
      </c>
      <c r="I39" s="12" t="n">
        <f aca="false">VLOOKUP(A39,FlowCal,3,0)</f>
        <v>84015.9</v>
      </c>
      <c r="L39" s="22" t="n">
        <f aca="false">HLOOKUP(L$4,Envl,Envelope!A36,0)</f>
        <v>77.7391822175048</v>
      </c>
      <c r="M39" s="13"/>
      <c r="N39" s="13"/>
      <c r="AF39" s="13"/>
      <c r="AG39" s="13"/>
    </row>
    <row r="40" customFormat="false" ht="15.75" hidden="false" customHeight="true" outlineLevel="0" collapsed="false">
      <c r="A40" s="5" t="str">
        <f aca="false">Input!AN20</f>
        <v>2.11.3</v>
      </c>
      <c r="B40" s="14" t="n">
        <v>16.6846112499955</v>
      </c>
      <c r="C40" s="15" t="n">
        <v>75.0433518040565</v>
      </c>
      <c r="D40" s="15" t="n">
        <v>10.7229336614516</v>
      </c>
      <c r="E40" s="16" t="n">
        <v>115.431632995605</v>
      </c>
      <c r="F40" s="17" t="n">
        <v>45.4673747124023</v>
      </c>
      <c r="G40" s="10" t="n">
        <f aca="false">IF(ROUND((E40-88.2)/1.2,0)&lt;1,1,IF(ROUND((E40-88.2)/1.2,0)&gt;15,15,ROUND((E40-88.2)/1.2,0)))</f>
        <v>15</v>
      </c>
      <c r="H40" s="11" t="n">
        <f aca="false">C40&lt;D40</f>
        <v>0</v>
      </c>
      <c r="I40" s="12" t="n">
        <f aca="false">VLOOKUP(A40,FlowCal,3,0)</f>
        <v>0</v>
      </c>
      <c r="L40" s="22" t="n">
        <f aca="false">HLOOKUP(L$4,Envl,Envelope!A37,0)</f>
        <v>93.1365001657748</v>
      </c>
      <c r="M40" s="13"/>
      <c r="N40" s="13"/>
      <c r="AF40" s="13"/>
      <c r="AG40" s="13"/>
    </row>
    <row r="41" customFormat="false" ht="15.75" hidden="false" customHeight="true" outlineLevel="0" collapsed="false">
      <c r="A41" s="5" t="str">
        <f aca="false">Input!AO20</f>
        <v>2.12.1</v>
      </c>
      <c r="B41" s="14" t="n">
        <v>1072.10043367776</v>
      </c>
      <c r="C41" s="15" t="n">
        <v>80.4026728855666</v>
      </c>
      <c r="D41" s="15" t="n">
        <v>79.5030704173541</v>
      </c>
      <c r="E41" s="16" t="n">
        <v>93.1999969482422</v>
      </c>
      <c r="F41" s="17" t="n">
        <v>42.6000266472168</v>
      </c>
      <c r="G41" s="10" t="n">
        <f aca="false">IF(ROUND((E41-88.2)/1.2,0)&lt;1,1,IF(ROUND((E41-88.2)/1.2,0)&gt;15,15,ROUND((E41-88.2)/1.2,0)))</f>
        <v>4</v>
      </c>
      <c r="H41" s="11" t="n">
        <f aca="false">C41&lt;D41</f>
        <v>0</v>
      </c>
      <c r="I41" s="12" t="n">
        <f aca="false">VLOOKUP(A41,FlowCal,3,0)</f>
        <v>0</v>
      </c>
      <c r="M41" s="13"/>
      <c r="N41" s="13"/>
      <c r="AF41" s="13"/>
      <c r="AG41" s="13"/>
    </row>
    <row r="42" customFormat="false" ht="15.75" hidden="false" customHeight="true" outlineLevel="0" collapsed="false">
      <c r="A42" s="5" t="str">
        <f aca="false">Input!AP20</f>
        <v>2.12.2</v>
      </c>
      <c r="B42" s="14" t="n">
        <v>1072.8447571181</v>
      </c>
      <c r="C42" s="15" t="n">
        <v>87.6964028917184</v>
      </c>
      <c r="D42" s="15" t="n">
        <v>79.4752141025306</v>
      </c>
      <c r="E42" s="16" t="n">
        <v>95.7844772338867</v>
      </c>
      <c r="F42" s="17" t="n">
        <v>43.3623767770996</v>
      </c>
      <c r="G42" s="10" t="n">
        <f aca="false">IF(ROUND((E42-88.2)/1.2,0)&lt;1,1,IF(ROUND((E42-88.2)/1.2,0)&gt;15,15,ROUND((E42-88.2)/1.2,0)))</f>
        <v>6</v>
      </c>
      <c r="H42" s="11" t="n">
        <f aca="false">C42&lt;D42</f>
        <v>0</v>
      </c>
      <c r="I42" s="12" t="n">
        <f aca="false">VLOOKUP(A42,FlowCal,3,0)</f>
        <v>374548.34</v>
      </c>
      <c r="M42" s="13"/>
      <c r="N42" s="13"/>
      <c r="AF42" s="13"/>
      <c r="AG42" s="13"/>
    </row>
    <row r="43" customFormat="false" ht="15.75" hidden="false" customHeight="true" outlineLevel="0" collapsed="false">
      <c r="A43" s="5" t="str">
        <f aca="false">Input!AQ20</f>
        <v>2.13.1</v>
      </c>
      <c r="B43" s="14" t="n">
        <v>973.057708345714</v>
      </c>
      <c r="C43" s="15" t="n">
        <v>91.995710297439</v>
      </c>
      <c r="D43" s="15" t="n">
        <v>79.2920548437439</v>
      </c>
      <c r="E43" s="16" t="n">
        <v>98.6493530273438</v>
      </c>
      <c r="F43" s="17" t="n">
        <v>43.6693195241699</v>
      </c>
      <c r="G43" s="10" t="n">
        <f aca="false">IF(ROUND((E43-88.2)/1.2,0)&lt;1,1,IF(ROUND((E43-88.2)/1.2,0)&gt;15,15,ROUND((E43-88.2)/1.2,0)))</f>
        <v>9</v>
      </c>
      <c r="H43" s="11" t="n">
        <f aca="false">C43&lt;D43</f>
        <v>0</v>
      </c>
      <c r="I43" s="12" t="n">
        <f aca="false">VLOOKUP(A43,FlowCal,3,0)</f>
        <v>70367.31</v>
      </c>
      <c r="M43" s="13"/>
      <c r="N43" s="13"/>
      <c r="AF43" s="13"/>
      <c r="AG43" s="13"/>
    </row>
    <row r="44" customFormat="false" ht="15.75" hidden="false" customHeight="true" outlineLevel="0" collapsed="false">
      <c r="A44" s="5" t="str">
        <f aca="false">Input!AR20</f>
        <v>2.13.2</v>
      </c>
      <c r="B44" s="14" t="n">
        <v>51.0619260629611</v>
      </c>
      <c r="C44" s="15" t="n">
        <v>82.8667216876883</v>
      </c>
      <c r="D44" s="15" t="n">
        <v>33.6131338144477</v>
      </c>
      <c r="E44" s="16" t="n">
        <v>109.945640563965</v>
      </c>
      <c r="F44" s="17" t="n">
        <v>44.8796050332031</v>
      </c>
      <c r="G44" s="10" t="n">
        <f aca="false">IF(ROUND((E44-88.2)/1.2,0)&lt;1,1,IF(ROUND((E44-88.2)/1.2,0)&gt;15,15,ROUND((E44-88.2)/1.2,0)))</f>
        <v>15</v>
      </c>
      <c r="H44" s="11" t="n">
        <f aca="false">C44&lt;D44</f>
        <v>0</v>
      </c>
      <c r="I44" s="12" t="n">
        <f aca="false">VLOOKUP(A44,FlowCal,3,0)</f>
        <v>24409.81</v>
      </c>
      <c r="AF44" s="13"/>
      <c r="AG44" s="13"/>
    </row>
    <row r="45" customFormat="false" ht="15.75" hidden="false" customHeight="true" outlineLevel="0" collapsed="false">
      <c r="A45" s="5" t="str">
        <f aca="false">Input!AS20</f>
        <v>2.13.3</v>
      </c>
      <c r="B45" s="14" t="n">
        <v>49.5570783675895</v>
      </c>
      <c r="C45" s="15" t="n">
        <v>85.566671841253</v>
      </c>
      <c r="D45" s="15" t="n">
        <v>39.0051125023941</v>
      </c>
      <c r="E45" s="16" t="n">
        <v>108.674980163574</v>
      </c>
      <c r="F45" s="17" t="n">
        <v>44.7434667268066</v>
      </c>
      <c r="G45" s="10" t="n">
        <f aca="false">IF(ROUND((E45-88.2)/1.2,0)&lt;1,1,IF(ROUND((E45-88.2)/1.2,0)&gt;15,15,ROUND((E45-88.2)/1.2,0)))</f>
        <v>15</v>
      </c>
      <c r="H45" s="11" t="n">
        <f aca="false">C45&lt;D45</f>
        <v>0</v>
      </c>
      <c r="I45" s="12" t="n">
        <f aca="false">VLOOKUP(A45,FlowCal,3,0)</f>
        <v>45054.18</v>
      </c>
      <c r="M45" s="13"/>
      <c r="N45" s="13"/>
      <c r="AF45" s="13"/>
      <c r="AG45" s="13"/>
    </row>
    <row r="46" customFormat="false" ht="15.75" hidden="false" customHeight="true" outlineLevel="0" collapsed="false">
      <c r="A46" s="5" t="str">
        <f aca="false">Input!AT20</f>
        <v>2.14.1</v>
      </c>
      <c r="B46" s="14" t="n">
        <v>1081.55375682149</v>
      </c>
      <c r="C46" s="15" t="n">
        <v>103.890276618182</v>
      </c>
      <c r="D46" s="15" t="n">
        <v>89.9590614520667</v>
      </c>
      <c r="E46" s="16" t="n">
        <v>98.5967559814453</v>
      </c>
      <c r="F46" s="17" t="n">
        <v>43.6636840864258</v>
      </c>
      <c r="G46" s="10" t="n">
        <f aca="false">IF(ROUND((E46-88.2)/1.2,0)&lt;1,1,IF(ROUND((E46-88.2)/1.2,0)&gt;15,15,ROUND((E46-88.2)/1.2,0)))</f>
        <v>9</v>
      </c>
      <c r="H46" s="11" t="n">
        <f aca="false">C46&lt;D46</f>
        <v>0</v>
      </c>
      <c r="I46" s="12" t="n">
        <f aca="false">VLOOKUP(A46,FlowCal,3,0)</f>
        <v>300611.73</v>
      </c>
      <c r="AF46" s="13"/>
      <c r="AG46" s="13"/>
    </row>
    <row r="47" customFormat="false" ht="15.75" hidden="false" customHeight="true" outlineLevel="0" collapsed="false">
      <c r="A47" s="5" t="str">
        <f aca="false">Input!AU20</f>
        <v>2.15.1</v>
      </c>
      <c r="B47" s="14" t="n">
        <v>1010.776796584</v>
      </c>
      <c r="C47" s="15" t="n">
        <v>85.8545616006886</v>
      </c>
      <c r="D47" s="15" t="n">
        <v>120.295364699587</v>
      </c>
      <c r="E47" s="16" t="n">
        <v>74.8676147460938</v>
      </c>
      <c r="F47" s="17" t="n">
        <v>41.1213434135742</v>
      </c>
      <c r="G47" s="10" t="n">
        <f aca="false">IF(ROUND((E47-88.2)/1.2,0)&lt;1,1,IF(ROUND((E47-88.2)/1.2,0)&gt;15,15,ROUND((E47-88.2)/1.2,0)))</f>
        <v>1</v>
      </c>
      <c r="H47" s="11" t="n">
        <f aca="false">C47&lt;D47</f>
        <v>1</v>
      </c>
      <c r="I47" s="12" t="n">
        <f aca="false">VLOOKUP(A47,FlowCal,3,0)</f>
        <v>187564.33</v>
      </c>
      <c r="AF47" s="13"/>
      <c r="AG47" s="13"/>
    </row>
    <row r="48" customFormat="false" ht="15.75" hidden="false" customHeight="true" outlineLevel="0" collapsed="false">
      <c r="A48" s="5" t="str">
        <f aca="false">Input!AV20</f>
        <v>2.15.2</v>
      </c>
      <c r="B48" s="14" t="n">
        <v>1078.86716495236</v>
      </c>
      <c r="C48" s="15" t="n">
        <v>102.10348821627</v>
      </c>
      <c r="D48" s="15" t="n">
        <v>99.1614180962456</v>
      </c>
      <c r="E48" s="16" t="n">
        <v>95.242431640625</v>
      </c>
      <c r="F48" s="17" t="n">
        <v>43.3043001428223</v>
      </c>
      <c r="G48" s="10" t="n">
        <f aca="false">IF(ROUND((E48-88.2)/1.2,0)&lt;1,1,IF(ROUND((E48-88.2)/1.2,0)&gt;15,15,ROUND((E48-88.2)/1.2,0)))</f>
        <v>6</v>
      </c>
      <c r="H48" s="11" t="n">
        <f aca="false">C48&lt;D48</f>
        <v>0</v>
      </c>
      <c r="I48" s="12" t="n">
        <f aca="false">VLOOKUP(A48,FlowCal,3,0)</f>
        <v>425503.15</v>
      </c>
      <c r="AF48" s="13"/>
      <c r="AG48" s="13"/>
    </row>
    <row r="49" customFormat="false" ht="15.75" hidden="false" customHeight="true" outlineLevel="0" collapsed="false">
      <c r="A49" s="5" t="str">
        <f aca="false">Input!AW20</f>
        <v>2.15.3</v>
      </c>
      <c r="B49" s="14" t="n">
        <v>13.0581845275817</v>
      </c>
      <c r="C49" s="15" t="n">
        <v>79.8914801741159</v>
      </c>
      <c r="D49" s="15" t="n">
        <v>-261.425025482178</v>
      </c>
      <c r="E49" s="16" t="n">
        <v>14.8639984130859</v>
      </c>
      <c r="F49" s="17" t="n">
        <v>30.4960894309082</v>
      </c>
      <c r="G49" s="10" t="n">
        <f aca="false">IF(ROUND((E49-88.2)/1.2,0)&lt;1,1,IF(ROUND((E49-88.2)/1.2,0)&gt;15,15,ROUND((E49-88.2)/1.2,0)))</f>
        <v>1</v>
      </c>
      <c r="H49" s="11" t="n">
        <f aca="false">C49&lt;D49</f>
        <v>0</v>
      </c>
      <c r="I49" s="12" t="n">
        <f aca="false">VLOOKUP(A49,FlowCal,3,0)</f>
        <v>0</v>
      </c>
      <c r="AF49" s="13"/>
      <c r="AG49" s="13"/>
    </row>
    <row r="50" customFormat="false" ht="15.75" hidden="false" customHeight="true" outlineLevel="0" collapsed="false">
      <c r="A50" s="5" t="str">
        <f aca="false">Input!AX20</f>
        <v>2.16.1</v>
      </c>
      <c r="B50" s="14" t="n">
        <v>76.7475360866855</v>
      </c>
      <c r="C50" s="15" t="n">
        <v>81.8026421480001</v>
      </c>
      <c r="D50" s="15" t="n">
        <v>32.1306868627059</v>
      </c>
      <c r="E50" s="16" t="n">
        <v>111.255043029785</v>
      </c>
      <c r="F50" s="17" t="n">
        <v>45.0198927592773</v>
      </c>
      <c r="G50" s="10" t="n">
        <f aca="false">IF(ROUND((E50-88.2)/1.2,0)&lt;1,1,IF(ROUND((E50-88.2)/1.2,0)&gt;15,15,ROUND((E50-88.2)/1.2,0)))</f>
        <v>15</v>
      </c>
      <c r="H50" s="11" t="n">
        <f aca="false">C50&lt;D50</f>
        <v>0</v>
      </c>
      <c r="I50" s="12" t="n">
        <f aca="false">VLOOKUP(A50,FlowCal,3,0)</f>
        <v>226763.72</v>
      </c>
      <c r="AF50" s="13"/>
      <c r="AG50" s="13"/>
    </row>
    <row r="51" customFormat="false" ht="15.75" hidden="false" customHeight="true" outlineLevel="0" collapsed="false">
      <c r="A51" s="5" t="str">
        <f aca="false">Input!AY20</f>
        <v>2.17.1</v>
      </c>
      <c r="B51" s="14" t="n">
        <v>60.0657130651393</v>
      </c>
      <c r="C51" s="15" t="n">
        <v>86.4286313256076</v>
      </c>
      <c r="D51" s="15" t="n">
        <v>53.1055927993513</v>
      </c>
      <c r="E51" s="16" t="n">
        <v>104.754653930664</v>
      </c>
      <c r="F51" s="17" t="n">
        <v>44.3234418151855</v>
      </c>
      <c r="G51" s="10" t="n">
        <f aca="false">IF(ROUND((E51-88.2)/1.2,0)&lt;1,1,IF(ROUND((E51-88.2)/1.2,0)&gt;15,15,ROUND((E51-88.2)/1.2,0)))</f>
        <v>14</v>
      </c>
      <c r="H51" s="11" t="n">
        <f aca="false">C51&lt;D51</f>
        <v>0</v>
      </c>
      <c r="I51" s="12" t="n">
        <f aca="false">VLOOKUP(A51,FlowCal,3,0)</f>
        <v>51042.07</v>
      </c>
      <c r="AF51" s="13"/>
      <c r="AG51" s="13"/>
    </row>
    <row r="52" customFormat="false" ht="15.75" hidden="false" customHeight="true" outlineLevel="0" collapsed="false">
      <c r="A52" s="5" t="str">
        <f aca="false">Input!AZ20</f>
        <v>2.17.2</v>
      </c>
      <c r="B52" s="14" t="n">
        <v>63.8645241642939</v>
      </c>
      <c r="C52" s="15" t="n">
        <v>90.353664943909</v>
      </c>
      <c r="D52" s="15" t="n">
        <v>82.0805901663176</v>
      </c>
      <c r="E52" s="16" t="n">
        <v>95.2199249267578</v>
      </c>
      <c r="F52" s="17" t="n">
        <v>43.3018920314941</v>
      </c>
      <c r="G52" s="10" t="n">
        <f aca="false">IF(ROUND((E52-88.2)/1.2,0)&lt;1,1,IF(ROUND((E52-88.2)/1.2,0)&gt;15,15,ROUND((E52-88.2)/1.2,0)))</f>
        <v>6</v>
      </c>
      <c r="H52" s="11" t="n">
        <f aca="false">C52&lt;D52</f>
        <v>0</v>
      </c>
      <c r="I52" s="12" t="n">
        <f aca="false">VLOOKUP(A52,FlowCal,3,0)</f>
        <v>23172.18</v>
      </c>
      <c r="AF52" s="13"/>
      <c r="AG52" s="13"/>
    </row>
    <row r="53" customFormat="false" ht="15.75" hidden="false" customHeight="true" outlineLevel="0" collapsed="false">
      <c r="A53" s="5" t="str">
        <f aca="false">Input!BA20</f>
        <v>2.17.3</v>
      </c>
      <c r="B53" s="14" t="n">
        <v>65.9651908970752</v>
      </c>
      <c r="C53" s="15" t="n">
        <v>102.01060011026</v>
      </c>
      <c r="D53" s="15" t="n">
        <v>41.6189762401935</v>
      </c>
      <c r="E53" s="16" t="n">
        <v>116.48509979248</v>
      </c>
      <c r="F53" s="17" t="n">
        <v>45.5802435</v>
      </c>
      <c r="G53" s="10" t="n">
        <f aca="false">IF(ROUND((E53-88.2)/1.2,0)&lt;1,1,IF(ROUND((E53-88.2)/1.2,0)&gt;15,15,ROUND((E53-88.2)/1.2,0)))</f>
        <v>15</v>
      </c>
      <c r="H53" s="11" t="n">
        <f aca="false">C53&lt;D53</f>
        <v>0</v>
      </c>
      <c r="I53" s="12" t="n">
        <f aca="false">VLOOKUP(A53,FlowCal,3,0)</f>
        <v>164470.78</v>
      </c>
      <c r="AF53" s="13"/>
      <c r="AG53" s="13"/>
    </row>
    <row r="54" customFormat="false" ht="15.75" hidden="false" customHeight="true" outlineLevel="0" collapsed="false">
      <c r="A54" s="5" t="str">
        <f aca="false">Input!BB20</f>
        <v>2.17.4</v>
      </c>
      <c r="B54" s="14" t="n">
        <v>66.6407443036375</v>
      </c>
      <c r="C54" s="15" t="n">
        <v>80.2689928116755</v>
      </c>
      <c r="D54" s="15" t="n">
        <v>42.2141395885979</v>
      </c>
      <c r="E54" s="16" t="n">
        <v>107.362426757813</v>
      </c>
      <c r="F54" s="17" t="n">
        <v>44.6028398837891</v>
      </c>
      <c r="G54" s="10" t="n">
        <f aca="false">IF(ROUND((E54-88.2)/1.2,0)&lt;1,1,IF(ROUND((E54-88.2)/1.2,0)&gt;15,15,ROUND((E54-88.2)/1.2,0)))</f>
        <v>15</v>
      </c>
      <c r="H54" s="11" t="n">
        <f aca="false">C54&lt;D54</f>
        <v>0</v>
      </c>
      <c r="I54" s="12" t="n">
        <f aca="false">VLOOKUP(A54,FlowCal,3,0)</f>
        <v>17299.87</v>
      </c>
      <c r="AF54" s="13"/>
      <c r="AG54" s="13"/>
    </row>
    <row r="55" customFormat="false" ht="15.75" hidden="false" customHeight="true" outlineLevel="0" collapsed="false">
      <c r="A55" s="5" t="str">
        <f aca="false">Input!BC20</f>
        <v>2.17.5</v>
      </c>
      <c r="B55" s="14" t="n">
        <v>62.1874120252386</v>
      </c>
      <c r="C55" s="15" t="n">
        <v>86.1468728699175</v>
      </c>
      <c r="D55" s="15" t="n">
        <v>74.8435503577163</v>
      </c>
      <c r="E55" s="16" t="n">
        <v>96.2883834838867</v>
      </c>
      <c r="F55" s="17" t="n">
        <v>43.416364956543</v>
      </c>
      <c r="G55" s="10" t="n">
        <f aca="false">IF(ROUND((E55-88.2)/1.2,0)&lt;1,1,IF(ROUND((E55-88.2)/1.2,0)&gt;15,15,ROUND((E55-88.2)/1.2,0)))</f>
        <v>7</v>
      </c>
      <c r="H55" s="11" t="n">
        <f aca="false">C55&lt;D55</f>
        <v>0</v>
      </c>
      <c r="I55" s="12" t="n">
        <f aca="false">VLOOKUP(A55,FlowCal,3,0)</f>
        <v>93835.16</v>
      </c>
      <c r="AF55" s="13"/>
      <c r="AG55" s="13"/>
    </row>
    <row r="56" customFormat="false" ht="15.75" hidden="false" customHeight="true" outlineLevel="0" collapsed="false">
      <c r="A56" s="5" t="str">
        <f aca="false">Input!BD20</f>
        <v>2.17.6</v>
      </c>
      <c r="B56" s="14" t="n">
        <v>64.1920752716389</v>
      </c>
      <c r="C56" s="15" t="n">
        <v>99.6528658427098</v>
      </c>
      <c r="D56" s="15" t="n">
        <v>63.8734399448297</v>
      </c>
      <c r="E56" s="16" t="n">
        <v>104.818092346191</v>
      </c>
      <c r="F56" s="17" t="n">
        <v>44.3302393952637</v>
      </c>
      <c r="G56" s="10" t="n">
        <f aca="false">IF(ROUND((E56-88.2)/1.2,0)&lt;1,1,IF(ROUND((E56-88.2)/1.2,0)&gt;15,15,ROUND((E56-88.2)/1.2,0)))</f>
        <v>14</v>
      </c>
      <c r="H56" s="11" t="n">
        <f aca="false">C56&lt;D56</f>
        <v>0</v>
      </c>
      <c r="I56" s="12" t="n">
        <f aca="false">VLOOKUP(A56,FlowCal,3,0)</f>
        <v>135025.2</v>
      </c>
      <c r="AF56" s="13"/>
      <c r="AG56" s="13"/>
    </row>
    <row r="57" customFormat="false" ht="15.75" hidden="false" customHeight="true" outlineLevel="0" collapsed="false">
      <c r="A57" s="5" t="str">
        <f aca="false">Input!BE20</f>
        <v>2.17.7</v>
      </c>
      <c r="B57" s="14" t="n">
        <v>80</v>
      </c>
      <c r="C57" s="15" t="n">
        <v>117.5</v>
      </c>
      <c r="D57" s="15" t="n">
        <v>169.662448416252</v>
      </c>
      <c r="E57" s="16" t="n">
        <v>93</v>
      </c>
      <c r="F57" s="17" t="n">
        <v>43</v>
      </c>
      <c r="G57" s="10" t="n">
        <f aca="false">IF(ROUND((E57-88.2)/1.2,0)&lt;1,1,IF(ROUND((E57-88.2)/1.2,0)&gt;15,15,ROUND((E57-88.2)/1.2,0)))</f>
        <v>4</v>
      </c>
      <c r="H57" s="11" t="n">
        <f aca="false">C57&lt;D57</f>
        <v>1</v>
      </c>
      <c r="I57" s="12" t="e">
        <f aca="false">VLOOKUP(A57,FlowCal,3,0)</f>
        <v>#N/A</v>
      </c>
      <c r="AF57" s="13"/>
      <c r="AG57" s="13"/>
    </row>
    <row r="58" customFormat="false" ht="15.75" hidden="false" customHeight="true" outlineLevel="0" collapsed="false">
      <c r="A58" s="5" t="str">
        <f aca="false">Input!BF20</f>
        <v>2.18.1</v>
      </c>
      <c r="B58" s="14" t="n">
        <v>70.555804925251</v>
      </c>
      <c r="C58" s="15" t="n">
        <v>84.839565504966</v>
      </c>
      <c r="D58" s="15" t="n">
        <v>38.4678774045518</v>
      </c>
      <c r="E58" s="16" t="n">
        <v>110.202743530273</v>
      </c>
      <c r="F58" s="17" t="n">
        <v>44.9071497116699</v>
      </c>
      <c r="G58" s="10" t="n">
        <f aca="false">IF(ROUND((E58-88.2)/1.2,0)&lt;1,1,IF(ROUND((E58-88.2)/1.2,0)&gt;15,15,ROUND((E58-88.2)/1.2,0)))</f>
        <v>15</v>
      </c>
      <c r="H58" s="11" t="n">
        <f aca="false">C58&lt;D58</f>
        <v>0</v>
      </c>
      <c r="I58" s="12" t="n">
        <f aca="false">VLOOKUP(A58,FlowCal,3,0)</f>
        <v>62525.86</v>
      </c>
      <c r="AF58" s="13"/>
      <c r="AG58" s="13"/>
    </row>
    <row r="59" customFormat="false" ht="15.75" hidden="false" customHeight="true" outlineLevel="0" collapsed="false">
      <c r="A59" s="5" t="str">
        <f aca="false">Input!BG20</f>
        <v>2.18.2</v>
      </c>
      <c r="B59" s="14" t="n">
        <v>60.6821671175185</v>
      </c>
      <c r="C59" s="15" t="n">
        <v>87.1977908454652</v>
      </c>
      <c r="D59" s="15" t="n">
        <v>58.1585532359336</v>
      </c>
      <c r="E59" s="16" t="n">
        <v>102.758682250977</v>
      </c>
      <c r="F59" s="17" t="n">
        <v>44.1095923845215</v>
      </c>
      <c r="G59" s="10" t="n">
        <f aca="false">IF(ROUND((E59-88.2)/1.2,0)&lt;1,1,IF(ROUND((E59-88.2)/1.2,0)&gt;15,15,ROUND((E59-88.2)/1.2,0)))</f>
        <v>12</v>
      </c>
      <c r="H59" s="11" t="n">
        <f aca="false">C59&lt;D59</f>
        <v>0</v>
      </c>
      <c r="I59" s="23"/>
      <c r="AF59" s="13"/>
      <c r="AG59" s="13"/>
    </row>
    <row r="60" customFormat="false" ht="15.75" hidden="false" customHeight="true" outlineLevel="0" collapsed="false">
      <c r="A60" s="5" t="str">
        <f aca="false">Input!BH20</f>
        <v>2.18.3</v>
      </c>
      <c r="B60" s="14" t="n">
        <v>97.7599473820053</v>
      </c>
      <c r="C60" s="15" t="n">
        <v>115.991547780407</v>
      </c>
      <c r="D60" s="15" t="n">
        <v>77.8168786358702</v>
      </c>
      <c r="E60" s="16" t="n">
        <v>105.866279602051</v>
      </c>
      <c r="F60" s="17" t="n">
        <v>44.4425404477539</v>
      </c>
      <c r="G60" s="10" t="n">
        <f aca="false">IF(ROUND((E60-88.2)/1.2,0)&lt;1,1,IF(ROUND((E60-88.2)/1.2,0)&gt;15,15,ROUND((E60-88.2)/1.2,0)))</f>
        <v>15</v>
      </c>
      <c r="H60" s="11" t="n">
        <f aca="false">C60&lt;D60</f>
        <v>0</v>
      </c>
      <c r="I60" s="23"/>
      <c r="AF60" s="13"/>
      <c r="AG60" s="13"/>
    </row>
    <row r="61" customFormat="false" ht="15.75" hidden="false" customHeight="true" outlineLevel="0" collapsed="false">
      <c r="A61" s="5" t="n">
        <f aca="false">Input!BI20</f>
        <v>0</v>
      </c>
      <c r="B61" s="14" t="n">
        <v>80</v>
      </c>
      <c r="C61" s="15" t="n">
        <v>117.5</v>
      </c>
      <c r="D61" s="15" t="n">
        <v>169.662448416252</v>
      </c>
      <c r="E61" s="16" t="n">
        <v>93</v>
      </c>
      <c r="F61" s="17" t="n">
        <v>43</v>
      </c>
      <c r="G61" s="10" t="n">
        <f aca="false">IF(ROUND((E61-88.2)/1.2,0)&lt;1,1,IF(ROUND((E61-88.2)/1.2,0)&gt;15,15,ROUND((E61-88.2)/1.2,0)))</f>
        <v>4</v>
      </c>
      <c r="H61" s="11" t="n">
        <f aca="false">C61&lt;D61</f>
        <v>1</v>
      </c>
      <c r="I61" s="23"/>
      <c r="AF61" s="13"/>
      <c r="AG61" s="13"/>
    </row>
    <row r="62" customFormat="false" ht="15.75" hidden="false" customHeight="true" outlineLevel="0" collapsed="false">
      <c r="A62" s="5" t="n">
        <f aca="false">Input!BJ20</f>
        <v>0</v>
      </c>
      <c r="B62" s="14" t="n">
        <v>0</v>
      </c>
      <c r="C62" s="15" t="n">
        <v>0</v>
      </c>
      <c r="D62" s="15"/>
      <c r="E62" s="16" t="n">
        <v>93</v>
      </c>
      <c r="F62" s="17" t="n">
        <v>43</v>
      </c>
      <c r="G62" s="10" t="n">
        <f aca="false">IF(ROUND((E62-88.2)/1.2,0)&lt;1,1,IF(ROUND((E62-88.2)/1.2,0)&gt;15,15,ROUND((E62-88.2)/1.2,0)))</f>
        <v>4</v>
      </c>
      <c r="H62" s="11"/>
      <c r="I62" s="23"/>
      <c r="N62" s="24" t="s">
        <v>4</v>
      </c>
      <c r="O62" s="24" t="s">
        <v>16</v>
      </c>
      <c r="P62" s="24" t="s">
        <v>17</v>
      </c>
      <c r="U62" s="13"/>
      <c r="AF62" s="13"/>
      <c r="AG62" s="13"/>
    </row>
    <row r="63" customFormat="false" ht="15.75" hidden="false" customHeight="true" outlineLevel="0" collapsed="false">
      <c r="A63" s="5" t="n">
        <f aca="false">Input!BK20</f>
        <v>0</v>
      </c>
      <c r="B63" s="14" t="n">
        <v>0</v>
      </c>
      <c r="C63" s="15" t="n">
        <v>0</v>
      </c>
      <c r="D63" s="15"/>
      <c r="E63" s="16" t="n">
        <v>93</v>
      </c>
      <c r="F63" s="17" t="n">
        <v>43</v>
      </c>
      <c r="G63" s="10" t="n">
        <f aca="false">IF(ROUND((E63-88.2)/1.2,0)&lt;1,1,IF(ROUND((E63-88.2)/1.2,0)&gt;15,15,ROUND((E63-88.2)/1.2,0)))</f>
        <v>4</v>
      </c>
      <c r="H63" s="11"/>
      <c r="I63" s="23"/>
      <c r="M63" s="4" t="n">
        <v>1</v>
      </c>
      <c r="N63" s="4" t="n">
        <f aca="false">N64-1.2</f>
        <v>89.4</v>
      </c>
      <c r="O63" s="13" t="n">
        <f aca="false">N63^2*-0.0012+0.3342*N63+22.443</f>
        <v>42.729648</v>
      </c>
      <c r="P63" s="25" t="n">
        <f aca="false">O63/7.4805</f>
        <v>5.7121379586926</v>
      </c>
      <c r="U63" s="13"/>
      <c r="AF63" s="13"/>
      <c r="AG63" s="13"/>
    </row>
    <row r="64" customFormat="false" ht="15.75" hidden="false" customHeight="true" outlineLevel="0" collapsed="false">
      <c r="A64" s="5" t="n">
        <f aca="false">Input!BL20</f>
        <v>0</v>
      </c>
      <c r="B64" s="14" t="n">
        <v>0</v>
      </c>
      <c r="C64" s="15" t="n">
        <v>0</v>
      </c>
      <c r="D64" s="15"/>
      <c r="E64" s="16" t="n">
        <v>93</v>
      </c>
      <c r="F64" s="17" t="n">
        <v>43</v>
      </c>
      <c r="G64" s="10" t="n">
        <f aca="false">IF(ROUND((E64-88.2)/1.2,0)&lt;1,1,IF(ROUND((E64-88.2)/1.2,0)&gt;15,15,ROUND((E64-88.2)/1.2,0)))</f>
        <v>4</v>
      </c>
      <c r="H64" s="11"/>
      <c r="I64" s="23"/>
      <c r="M64" s="4" t="n">
        <v>2</v>
      </c>
      <c r="N64" s="4" t="n">
        <f aca="false">N65-1.2</f>
        <v>90.6</v>
      </c>
      <c r="O64" s="13" t="n">
        <f aca="false">N64^2*-0.0012+0.3342*N64+22.443</f>
        <v>42.871488</v>
      </c>
      <c r="P64" s="25" t="n">
        <f aca="false">O64/7.4805</f>
        <v>5.73109925807098</v>
      </c>
      <c r="U64" s="13"/>
      <c r="AF64" s="13"/>
      <c r="AG64" s="13"/>
    </row>
    <row r="65" customFormat="false" ht="15.75" hidden="false" customHeight="true" outlineLevel="0" collapsed="false">
      <c r="A65" s="5" t="n">
        <f aca="false">Input!BM20</f>
        <v>0</v>
      </c>
      <c r="B65" s="14" t="n">
        <v>0</v>
      </c>
      <c r="C65" s="15" t="n">
        <v>0</v>
      </c>
      <c r="D65" s="15"/>
      <c r="E65" s="16" t="n">
        <v>93</v>
      </c>
      <c r="F65" s="17" t="n">
        <v>43</v>
      </c>
      <c r="G65" s="10" t="n">
        <f aca="false">IF(ROUND((E65-88.2)/1.2,0)&lt;1,1,IF(ROUND((E65-88.2)/1.2,0)&gt;15,15,ROUND((E65-88.2)/1.2,0)))</f>
        <v>4</v>
      </c>
      <c r="H65" s="11"/>
      <c r="I65" s="23"/>
      <c r="M65" s="4" t="n">
        <v>3</v>
      </c>
      <c r="N65" s="4" t="n">
        <f aca="false">N66-1.2</f>
        <v>91.8</v>
      </c>
      <c r="O65" s="13" t="n">
        <f aca="false">N65^2*-0.0012+0.3342*N65+22.443</f>
        <v>43.009872</v>
      </c>
      <c r="P65" s="25" t="n">
        <f aca="false">O65/7.4805</f>
        <v>5.74959855624624</v>
      </c>
      <c r="U65" s="13"/>
      <c r="AF65" s="13"/>
      <c r="AG65" s="13"/>
    </row>
    <row r="66" customFormat="false" ht="15.75" hidden="false" customHeight="true" outlineLevel="0" collapsed="false">
      <c r="A66" s="5" t="n">
        <f aca="false">Input!BN20</f>
        <v>0</v>
      </c>
      <c r="B66" s="14" t="n">
        <v>0</v>
      </c>
      <c r="C66" s="15" t="n">
        <v>0</v>
      </c>
      <c r="D66" s="15"/>
      <c r="E66" s="16" t="n">
        <v>93</v>
      </c>
      <c r="F66" s="17" t="n">
        <v>43</v>
      </c>
      <c r="G66" s="10" t="n">
        <f aca="false">IF(ROUND((E66-88.2)/1.2,0)&lt;1,1,IF(ROUND((E66-88.2)/1.2,0)&gt;15,15,ROUND((E66-88.2)/1.2,0)))</f>
        <v>4</v>
      </c>
      <c r="H66" s="11"/>
      <c r="I66" s="23"/>
      <c r="M66" s="4" t="n">
        <v>4</v>
      </c>
      <c r="N66" s="4" t="n">
        <v>93</v>
      </c>
      <c r="O66" s="13" t="n">
        <f aca="false">N66^2*-0.0012+0.3342*N66+22.443</f>
        <v>43.1448</v>
      </c>
      <c r="P66" s="25" t="n">
        <f aca="false">O66/7.4805</f>
        <v>5.76763585321837</v>
      </c>
      <c r="U66" s="13"/>
      <c r="AF66" s="13"/>
      <c r="AG66" s="13"/>
    </row>
    <row r="67" customFormat="false" ht="15.75" hidden="false" customHeight="true" outlineLevel="0" collapsed="false">
      <c r="A67" s="5" t="n">
        <f aca="false">Input!BO20</f>
        <v>0</v>
      </c>
      <c r="B67" s="14" t="n">
        <v>0</v>
      </c>
      <c r="C67" s="15" t="n">
        <v>0</v>
      </c>
      <c r="D67" s="15"/>
      <c r="E67" s="16" t="n">
        <v>93</v>
      </c>
      <c r="F67" s="17" t="n">
        <v>43</v>
      </c>
      <c r="G67" s="10" t="n">
        <f aca="false">IF(ROUND((E67-88.2)/1.2,0)&lt;1,1,IF(ROUND((E67-88.2)/1.2,0)&gt;15,15,ROUND((E67-88.2)/1.2,0)))</f>
        <v>4</v>
      </c>
      <c r="H67" s="11"/>
      <c r="I67" s="23"/>
      <c r="M67" s="4" t="n">
        <v>5</v>
      </c>
      <c r="N67" s="4" t="n">
        <f aca="false">N66+1.2</f>
        <v>94.2</v>
      </c>
      <c r="O67" s="13" t="n">
        <f aca="false">N67^2*-0.0012+0.3342*N67+22.443</f>
        <v>43.276272</v>
      </c>
      <c r="P67" s="25" t="n">
        <f aca="false">O67/7.4805</f>
        <v>5.78521114898737</v>
      </c>
      <c r="U67" s="13"/>
      <c r="AF67" s="13"/>
      <c r="AG67" s="13"/>
    </row>
    <row r="68" customFormat="false" ht="15.75" hidden="false" customHeight="true" outlineLevel="0" collapsed="false">
      <c r="A68" s="5" t="n">
        <f aca="false">Input!BP20</f>
        <v>0</v>
      </c>
      <c r="B68" s="14" t="n">
        <v>0</v>
      </c>
      <c r="C68" s="15" t="n">
        <v>0</v>
      </c>
      <c r="D68" s="15"/>
      <c r="E68" s="16" t="n">
        <v>93</v>
      </c>
      <c r="F68" s="17" t="n">
        <v>43</v>
      </c>
      <c r="G68" s="10" t="n">
        <f aca="false">IF(ROUND((E68-88.2)/1.2,0)&lt;1,1,IF(ROUND((E68-88.2)/1.2,0)&gt;15,15,ROUND((E68-88.2)/1.2,0)))</f>
        <v>4</v>
      </c>
      <c r="H68" s="11"/>
      <c r="I68" s="23"/>
      <c r="M68" s="4" t="n">
        <v>6</v>
      </c>
      <c r="N68" s="4" t="n">
        <f aca="false">N67+1.2</f>
        <v>95.4</v>
      </c>
      <c r="O68" s="13" t="n">
        <f aca="false">N68^2*-0.0012+0.3342*N68+22.443</f>
        <v>43.404288</v>
      </c>
      <c r="P68" s="25" t="n">
        <f aca="false">O68/7.4805</f>
        <v>5.80232444355324</v>
      </c>
      <c r="U68" s="13"/>
      <c r="AF68" s="13"/>
      <c r="AG68" s="13"/>
    </row>
    <row r="69" customFormat="false" ht="15.75" hidden="false" customHeight="true" outlineLevel="0" collapsed="false">
      <c r="A69" s="5" t="n">
        <f aca="false">Input!BQ20</f>
        <v>0</v>
      </c>
      <c r="B69" s="14" t="n">
        <v>0</v>
      </c>
      <c r="C69" s="15" t="n">
        <v>0</v>
      </c>
      <c r="D69" s="15"/>
      <c r="E69" s="16" t="n">
        <v>93</v>
      </c>
      <c r="F69" s="17" t="n">
        <v>43</v>
      </c>
      <c r="G69" s="10" t="n">
        <f aca="false">IF(ROUND((E69-88.2)/1.2,0)&lt;1,1,IF(ROUND((E69-88.2)/1.2,0)&gt;15,15,ROUND((E69-88.2)/1.2,0)))</f>
        <v>4</v>
      </c>
      <c r="H69" s="11"/>
      <c r="I69" s="23"/>
      <c r="M69" s="4" t="n">
        <v>7</v>
      </c>
      <c r="N69" s="4" t="n">
        <f aca="false">N68+1.2</f>
        <v>96.6</v>
      </c>
      <c r="O69" s="13" t="n">
        <f aca="false">N69^2*-0.0012+0.3342*N69+22.443</f>
        <v>43.528848</v>
      </c>
      <c r="P69" s="25" t="n">
        <f aca="false">O69/7.4805</f>
        <v>5.81897573691598</v>
      </c>
      <c r="U69" s="13"/>
      <c r="AF69" s="13"/>
      <c r="AG69" s="13"/>
    </row>
    <row r="70" customFormat="false" ht="15.75" hidden="false" customHeight="true" outlineLevel="0" collapsed="false">
      <c r="A70" s="5" t="n">
        <f aca="false">Input!BR20</f>
        <v>0</v>
      </c>
      <c r="B70" s="14" t="n">
        <v>0</v>
      </c>
      <c r="C70" s="15" t="n">
        <v>0</v>
      </c>
      <c r="D70" s="15"/>
      <c r="E70" s="16" t="n">
        <v>93</v>
      </c>
      <c r="F70" s="17" t="n">
        <v>43</v>
      </c>
      <c r="G70" s="10" t="n">
        <f aca="false">IF(ROUND((E70-88.2)/1.2,0)&lt;1,1,IF(ROUND((E70-88.2)/1.2,0)&gt;15,15,ROUND((E70-88.2)/1.2,0)))</f>
        <v>4</v>
      </c>
      <c r="H70" s="11"/>
      <c r="I70" s="23"/>
      <c r="M70" s="4" t="n">
        <v>8</v>
      </c>
      <c r="N70" s="4" t="n">
        <f aca="false">N69+1.2</f>
        <v>97.8</v>
      </c>
      <c r="O70" s="13" t="n">
        <f aca="false">N70^2*-0.0012+0.3342*N70+22.443</f>
        <v>43.649952</v>
      </c>
      <c r="P70" s="25" t="n">
        <f aca="false">O70/7.4805</f>
        <v>5.8351650290756</v>
      </c>
      <c r="U70" s="13"/>
      <c r="AF70" s="13"/>
      <c r="AG70" s="13"/>
    </row>
    <row r="71" customFormat="false" ht="15.75" hidden="false" customHeight="true" outlineLevel="0" collapsed="false">
      <c r="A71" s="5" t="n">
        <f aca="false">Input!BS20</f>
        <v>0</v>
      </c>
      <c r="B71" s="14" t="n">
        <v>0</v>
      </c>
      <c r="C71" s="15" t="n">
        <v>0</v>
      </c>
      <c r="D71" s="15"/>
      <c r="E71" s="16" t="n">
        <v>93</v>
      </c>
      <c r="F71" s="17" t="n">
        <v>43</v>
      </c>
      <c r="G71" s="10" t="n">
        <f aca="false">IF(ROUND((E71-88.2)/1.2,0)&lt;1,1,IF(ROUND((E71-88.2)/1.2,0)&gt;15,15,ROUND((E71-88.2)/1.2,0)))</f>
        <v>4</v>
      </c>
      <c r="H71" s="11"/>
      <c r="I71" s="23"/>
      <c r="M71" s="4" t="n">
        <v>9</v>
      </c>
      <c r="N71" s="4" t="n">
        <f aca="false">N70+1.2</f>
        <v>99</v>
      </c>
      <c r="O71" s="13" t="n">
        <f aca="false">N71^2*-0.0012+0.3342*N71+22.443</f>
        <v>43.7676</v>
      </c>
      <c r="P71" s="25" t="n">
        <f aca="false">O71/7.4805</f>
        <v>5.85089232003208</v>
      </c>
      <c r="U71" s="13"/>
      <c r="AF71" s="13"/>
      <c r="AG71" s="13"/>
    </row>
    <row r="72" customFormat="false" ht="15.75" hidden="false" customHeight="true" outlineLevel="0" collapsed="false">
      <c r="A72" s="5" t="n">
        <f aca="false">Input!BT20</f>
        <v>0</v>
      </c>
      <c r="B72" s="14" t="n">
        <v>0</v>
      </c>
      <c r="C72" s="15" t="n">
        <v>0</v>
      </c>
      <c r="D72" s="15"/>
      <c r="E72" s="16" t="n">
        <v>93</v>
      </c>
      <c r="F72" s="17" t="n">
        <v>43</v>
      </c>
      <c r="G72" s="10" t="n">
        <f aca="false">IF(ROUND((E72-88.2)/1.2,0)&lt;1,1,IF(ROUND((E72-88.2)/1.2,0)&gt;15,15,ROUND((E72-88.2)/1.2,0)))</f>
        <v>4</v>
      </c>
      <c r="H72" s="11"/>
      <c r="I72" s="23"/>
      <c r="M72" s="4" t="n">
        <v>10</v>
      </c>
      <c r="N72" s="4" t="n">
        <f aca="false">N71+1.2</f>
        <v>100.2</v>
      </c>
      <c r="O72" s="13" t="n">
        <f aca="false">N72^2*-0.0012+0.3342*N72+22.443</f>
        <v>43.881792</v>
      </c>
      <c r="P72" s="25" t="n">
        <f aca="false">O72/7.4805</f>
        <v>5.86615760978544</v>
      </c>
      <c r="U72" s="13"/>
      <c r="AF72" s="13"/>
      <c r="AG72" s="13"/>
    </row>
    <row r="73" customFormat="false" ht="15.75" hidden="false" customHeight="true" outlineLevel="0" collapsed="false">
      <c r="M73" s="4" t="n">
        <v>11</v>
      </c>
      <c r="N73" s="4" t="n">
        <f aca="false">N72+1.2</f>
        <v>101.4</v>
      </c>
      <c r="O73" s="13" t="n">
        <f aca="false">N73^2*-0.0012+0.3342*N73+22.443</f>
        <v>43.992528</v>
      </c>
      <c r="P73" s="25" t="n">
        <f aca="false">O73/7.4805</f>
        <v>5.88096089833567</v>
      </c>
      <c r="U73" s="13"/>
      <c r="AF73" s="13"/>
      <c r="AG73" s="13"/>
    </row>
    <row r="74" customFormat="false" ht="15.75" hidden="false" customHeight="true" outlineLevel="0" collapsed="false">
      <c r="M74" s="4" t="n">
        <v>12</v>
      </c>
      <c r="N74" s="4" t="n">
        <f aca="false">N73+1.2</f>
        <v>102.6</v>
      </c>
      <c r="O74" s="13" t="n">
        <f aca="false">N74^2*-0.0012+0.3342*N74+22.443</f>
        <v>44.099808</v>
      </c>
      <c r="P74" s="25" t="n">
        <f aca="false">O74/7.4805</f>
        <v>5.89530218568278</v>
      </c>
      <c r="U74" s="13"/>
      <c r="AF74" s="13"/>
      <c r="AG74" s="13"/>
    </row>
    <row r="75" customFormat="false" ht="15.75" hidden="false" customHeight="true" outlineLevel="0" collapsed="false">
      <c r="M75" s="4" t="n">
        <v>13</v>
      </c>
      <c r="N75" s="4" t="n">
        <f aca="false">N74+1.2</f>
        <v>103.8</v>
      </c>
      <c r="O75" s="13" t="n">
        <f aca="false">N75^2*-0.0012+0.3342*N75+22.443</f>
        <v>44.203632</v>
      </c>
      <c r="P75" s="25" t="n">
        <f aca="false">O75/7.4805</f>
        <v>5.90918147182675</v>
      </c>
      <c r="U75" s="13"/>
      <c r="AF75" s="13"/>
      <c r="AG75" s="13"/>
    </row>
    <row r="76" customFormat="false" ht="15.75" hidden="false" customHeight="true" outlineLevel="0" collapsed="false">
      <c r="M76" s="4" t="n">
        <v>14</v>
      </c>
      <c r="N76" s="4" t="n">
        <f aca="false">N75+1.2</f>
        <v>105</v>
      </c>
      <c r="O76" s="13" t="n">
        <f aca="false">N76^2*-0.0012+0.3342*N76+22.443</f>
        <v>44.304</v>
      </c>
      <c r="P76" s="25" t="n">
        <f aca="false">O76/7.4805</f>
        <v>5.9225987567676</v>
      </c>
      <c r="U76" s="13"/>
      <c r="AF76" s="13"/>
      <c r="AG76" s="13"/>
    </row>
    <row r="77" customFormat="false" ht="15.75" hidden="false" customHeight="true" outlineLevel="0" collapsed="false">
      <c r="M77" s="4" t="n">
        <v>15</v>
      </c>
      <c r="N77" s="4" t="n">
        <f aca="false">N76+1.2</f>
        <v>106.2</v>
      </c>
      <c r="O77" s="13" t="n">
        <f aca="false">N77^2*-0.0012+0.3342*N77+22.443</f>
        <v>44.400912</v>
      </c>
      <c r="P77" s="25" t="n">
        <f aca="false">O77/7.4805</f>
        <v>5.93555404050531</v>
      </c>
      <c r="U77" s="13"/>
    </row>
    <row r="78" customFormat="false" ht="15.75" hidden="false" customHeight="true" outlineLevel="0" collapsed="false">
      <c r="U78" s="13"/>
    </row>
    <row r="79" customFormat="false" ht="15.75" hidden="false" customHeight="true" outlineLevel="0" collapsed="false">
      <c r="U79" s="13"/>
    </row>
    <row r="80" customFormat="false" ht="15.75" hidden="false" customHeight="true" outlineLevel="0" collapsed="false">
      <c r="U80" s="13"/>
    </row>
    <row r="81" customFormat="false" ht="15.75" hidden="false" customHeight="true" outlineLevel="0" collapsed="false">
      <c r="U81" s="13"/>
    </row>
    <row r="82" customFormat="false" ht="15.75" hidden="false" customHeight="true" outlineLevel="0" collapsed="false">
      <c r="M82" s="4" t="s">
        <v>18</v>
      </c>
      <c r="N82" s="4" t="n">
        <v>86.1754</v>
      </c>
      <c r="O82" s="4" t="n">
        <v>0.6</v>
      </c>
      <c r="P82" s="4" t="n">
        <f aca="false">N82*O82</f>
        <v>51.70524</v>
      </c>
      <c r="Q82" s="4" t="n">
        <f aca="false">P82/P85</f>
        <v>0.554844763300599</v>
      </c>
      <c r="R82" s="4" t="n">
        <v>5.5364</v>
      </c>
      <c r="S82" s="4" t="n">
        <f aca="false">Q82/R82</f>
        <v>0.100217607705476</v>
      </c>
      <c r="U82" s="13"/>
    </row>
    <row r="83" customFormat="false" ht="15.75" hidden="false" customHeight="true" outlineLevel="0" collapsed="false">
      <c r="M83" s="4" t="s">
        <v>19</v>
      </c>
      <c r="N83" s="4" t="n">
        <v>100.2019</v>
      </c>
      <c r="O83" s="4" t="n">
        <v>0.3</v>
      </c>
      <c r="P83" s="4" t="n">
        <f aca="false">N83*O83</f>
        <v>30.06057</v>
      </c>
      <c r="Q83" s="4" t="n">
        <f aca="false">P83/P85</f>
        <v>0.322577553964184</v>
      </c>
      <c r="R83" s="4" t="n">
        <v>5.7379</v>
      </c>
      <c r="S83" s="4" t="n">
        <f aca="false">Q83/R83</f>
        <v>0.0562187479677555</v>
      </c>
      <c r="U83" s="13"/>
    </row>
    <row r="84" customFormat="false" ht="15.75" hidden="false" customHeight="true" outlineLevel="0" collapsed="false">
      <c r="M84" s="4" t="s">
        <v>20</v>
      </c>
      <c r="N84" s="4" t="n">
        <v>114.2285</v>
      </c>
      <c r="O84" s="4" t="n">
        <v>0.1</v>
      </c>
      <c r="P84" s="4" t="n">
        <f aca="false">N84*O84</f>
        <v>11.42285</v>
      </c>
      <c r="Q84" s="4" t="n">
        <f aca="false">P84/P85</f>
        <v>0.122577682735217</v>
      </c>
      <c r="R84" s="4" t="n">
        <v>5.8907</v>
      </c>
      <c r="S84" s="4" t="n">
        <f aca="false">Q84/R84</f>
        <v>0.0208086785501243</v>
      </c>
      <c r="U84" s="13"/>
    </row>
    <row r="85" customFormat="false" ht="15.75" hidden="false" customHeight="true" outlineLevel="0" collapsed="false">
      <c r="P85" s="4" t="n">
        <f aca="false">SUM(P82:P84)</f>
        <v>93.18866</v>
      </c>
      <c r="Q85" s="4" t="n">
        <f aca="false">SUM(Q82:Q84)</f>
        <v>1</v>
      </c>
      <c r="S85" s="4" t="n">
        <f aca="false">1/SUM(S82:S84)</f>
        <v>5.64190700394938</v>
      </c>
      <c r="T85" s="13" t="n">
        <f aca="false">S85*7.4805</f>
        <v>42.2042853430433</v>
      </c>
      <c r="U85" s="13"/>
    </row>
    <row r="86" customFormat="false" ht="15.75" hidden="false" customHeight="true" outlineLevel="0" collapsed="false">
      <c r="U86" s="13"/>
    </row>
    <row r="87" customFormat="false" ht="15.75" hidden="false" customHeight="true" outlineLevel="0" collapsed="false">
      <c r="U87" s="13"/>
    </row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conditionalFormatting sqref="E2:E72">
    <cfRule type="cellIs" priority="2" operator="notBetween" aboveAverage="0" equalAverage="0" bottom="0" percent="0" rank="0" text="" dxfId="0">
      <formula>86</formula>
      <formula>114</formula>
    </cfRule>
  </conditionalFormatting>
  <conditionalFormatting sqref="H2:H72">
    <cfRule type="cellIs" priority="3" operator="equal" aboveAverage="0" equalAverage="0" bottom="0" percent="0" rank="0" text="" dxfId="0">
      <formula>"TRUE"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CH1000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A4" activeCellId="0" sqref="A4"/>
    </sheetView>
  </sheetViews>
  <sheetFormatPr defaultColWidth="14.453125" defaultRowHeight="15" zeroHeight="false" outlineLevelRow="0" outlineLevelCol="0"/>
  <cols>
    <col collapsed="false" customWidth="true" hidden="false" outlineLevel="0" max="1" min="1" style="0" width="12.57"/>
    <col collapsed="false" customWidth="true" hidden="false" outlineLevel="0" max="2" min="2" style="0" width="10.86"/>
    <col collapsed="false" customWidth="true" hidden="false" outlineLevel="0" max="3" min="3" style="0" width="9.85"/>
    <col collapsed="false" customWidth="true" hidden="false" outlineLevel="0" max="10" min="4" style="0" width="9.29"/>
    <col collapsed="false" customWidth="true" hidden="false" outlineLevel="0" max="11" min="11" style="0" width="9.57"/>
    <col collapsed="false" customWidth="true" hidden="false" outlineLevel="0" max="12" min="12" style="0" width="11"/>
    <col collapsed="false" customWidth="true" hidden="false" outlineLevel="0" max="19" min="13" style="0" width="9.29"/>
    <col collapsed="false" customWidth="true" hidden="false" outlineLevel="0" max="20" min="20" style="0" width="9.43"/>
    <col collapsed="false" customWidth="true" hidden="false" outlineLevel="0" max="44" min="21" style="0" width="9.29"/>
    <col collapsed="false" customWidth="true" hidden="false" outlineLevel="0" max="45" min="45" style="0" width="9.57"/>
    <col collapsed="false" customWidth="true" hidden="false" outlineLevel="0" max="72" min="46" style="0" width="9.29"/>
    <col collapsed="false" customWidth="true" hidden="false" outlineLevel="0" max="74" min="73" style="0" width="9.57"/>
    <col collapsed="false" customWidth="true" hidden="false" outlineLevel="0" max="84" min="75" style="0" width="9.29"/>
    <col collapsed="false" customWidth="true" hidden="false" outlineLevel="0" max="85" min="85" style="0" width="9.57"/>
    <col collapsed="false" customWidth="true" hidden="false" outlineLevel="0" max="86" min="86" style="0" width="9.29"/>
  </cols>
  <sheetData>
    <row r="2" customFormat="false" ht="21" hidden="false" customHeight="true" outlineLevel="0" collapsed="false">
      <c r="B2" s="26"/>
      <c r="C2" s="27" t="s">
        <v>21</v>
      </c>
      <c r="D2" s="26"/>
    </row>
    <row r="4" customFormat="false" ht="15" hidden="false" customHeight="false" outlineLevel="0" collapsed="false">
      <c r="A4" s="28"/>
      <c r="B4" s="29" t="str">
        <f aca="false">IF(B36 = 0,999,B20)</f>
        <v>1.01.1</v>
      </c>
      <c r="C4" s="30" t="str">
        <f aca="false">IF(C36 = 0,999,C20)</f>
        <v>1.01.2</v>
      </c>
      <c r="D4" s="30" t="str">
        <f aca="false">IF(D36 = 0,999,D20)</f>
        <v>1.01.3</v>
      </c>
      <c r="E4" s="30" t="str">
        <f aca="false">IF(E36 = 0,999,E20)</f>
        <v>1.01.4</v>
      </c>
      <c r="F4" s="30" t="str">
        <f aca="false">IF(F36 = 0,999,F20)</f>
        <v>1.01.5</v>
      </c>
      <c r="G4" s="30" t="str">
        <f aca="false">IF(G36 = 0,999,G20)</f>
        <v>1.01.6</v>
      </c>
      <c r="H4" s="30" t="str">
        <f aca="false">IF(H36 = 0,999,H20)</f>
        <v>1.01.7</v>
      </c>
      <c r="I4" s="30" t="str">
        <f aca="false">IF(I36 = 0,999,I20)</f>
        <v>1.01.8</v>
      </c>
      <c r="J4" s="30" t="str">
        <f aca="false">IF(J36 = 0,999,J20)</f>
        <v>1.01.9</v>
      </c>
      <c r="K4" s="30" t="str">
        <f aca="false">IF(K36 = 0,999,K20)</f>
        <v>1.10.1</v>
      </c>
      <c r="L4" s="30" t="str">
        <f aca="false">IF(L36 = 0,999,L20)</f>
        <v>2.02.6</v>
      </c>
      <c r="M4" s="30" t="str">
        <f aca="false">IF(M36 = 0,999,M20)</f>
        <v>2.02.7</v>
      </c>
      <c r="N4" s="30" t="str">
        <f aca="false">IF(N36 = 0,999,N20)</f>
        <v>2.03.1</v>
      </c>
      <c r="O4" s="30" t="str">
        <f aca="false">IF(O36 = 0,999,O20)</f>
        <v>2.03.2</v>
      </c>
      <c r="P4" s="30" t="str">
        <f aca="false">IF(P36 = 0,999,P20)</f>
        <v>2.03.3</v>
      </c>
      <c r="Q4" s="30" t="str">
        <f aca="false">IF(Q36 = 0,999,Q20)</f>
        <v>2.03.4</v>
      </c>
      <c r="R4" s="30" t="str">
        <f aca="false">IF(R36 = 0,999,R20)</f>
        <v>2.03.5</v>
      </c>
      <c r="S4" s="30" t="str">
        <f aca="false">IF(S36 = 0,999,S20)</f>
        <v>2.03.6</v>
      </c>
      <c r="T4" s="30" t="str">
        <f aca="false">IF(T36 = 0,999,T20)</f>
        <v>2.03.7</v>
      </c>
      <c r="U4" s="30" t="str">
        <f aca="false">IF(U36 = 0,999,U20)</f>
        <v>2.03.8</v>
      </c>
      <c r="V4" s="30" t="str">
        <f aca="false">IF(V36 = 0,999,V20)</f>
        <v>2.03.9</v>
      </c>
      <c r="W4" s="30" t="str">
        <f aca="false">IF(W36 = 0,999,W20)</f>
        <v>2.05.1</v>
      </c>
      <c r="X4" s="30" t="str">
        <f aca="false">IF(X36 = 0,999,X20)</f>
        <v>2.05.5</v>
      </c>
      <c r="Y4" s="30" t="str">
        <f aca="false">IF(Y36 = 0,999,Y20)</f>
        <v>2.07.1</v>
      </c>
      <c r="Z4" s="30" t="str">
        <f aca="false">IF(Z36 = 0,999,Z20)</f>
        <v>2.07.2</v>
      </c>
      <c r="AA4" s="30" t="n">
        <f aca="false">IF(AA36 = 0,999,AA20)</f>
        <v>999</v>
      </c>
      <c r="AB4" s="30" t="str">
        <f aca="false">IF(AB36 = 0,999,AB20)</f>
        <v>2.10.10</v>
      </c>
      <c r="AC4" s="30" t="str">
        <f aca="false">IF(AC36 = 0,999,AC20)</f>
        <v>2.10.11</v>
      </c>
      <c r="AD4" s="30" t="str">
        <f aca="false">IF(AD36 = 0,999,AD20)</f>
        <v>2.10.12</v>
      </c>
      <c r="AE4" s="30" t="str">
        <f aca="false">IF(AE36 = 0,999,AE20)</f>
        <v>2.10.13</v>
      </c>
      <c r="AF4" s="30" t="str">
        <f aca="false">IF(AF36 = 0,999,AF20)</f>
        <v>2.10.2</v>
      </c>
      <c r="AG4" s="30" t="str">
        <f aca="false">IF(AG36 = 0,999,AG20)</f>
        <v>2.10.4</v>
      </c>
      <c r="AH4" s="30" t="str">
        <f aca="false">IF(AH36 = 0,999,AH20)</f>
        <v>2.10.5</v>
      </c>
      <c r="AI4" s="30" t="str">
        <f aca="false">IF(AI36 = 0,999,AI20)</f>
        <v>2.10.6</v>
      </c>
      <c r="AJ4" s="30" t="str">
        <f aca="false">IF(AJ36 = 0,999,AJ20)</f>
        <v>2.10.7</v>
      </c>
      <c r="AK4" s="30" t="str">
        <f aca="false">IF(AK36 = 0,999,AK20)</f>
        <v>2.10.8</v>
      </c>
      <c r="AL4" s="30" t="str">
        <f aca="false">IF(AL36 = 0,999,AL20)</f>
        <v>2.10.9</v>
      </c>
      <c r="AM4" s="30" t="str">
        <f aca="false">IF(AM36 = 0,999,AM20)</f>
        <v>2.11.2</v>
      </c>
      <c r="AN4" s="30" t="str">
        <f aca="false">IF(AN36 = 0,999,AN20)</f>
        <v>2.11.3</v>
      </c>
      <c r="AO4" s="30" t="str">
        <f aca="false">IF(AO36 = 0,999,AO20)</f>
        <v>2.12.1</v>
      </c>
      <c r="AP4" s="30" t="str">
        <f aca="false">IF(AP36 = 0,999,AP20)</f>
        <v>2.12.2</v>
      </c>
      <c r="AQ4" s="30" t="str">
        <f aca="false">IF(AQ36 = 0,999,AQ20)</f>
        <v>2.13.1</v>
      </c>
      <c r="AR4" s="30" t="str">
        <f aca="false">IF(AR36 = 0,999,AR20)</f>
        <v>2.13.2</v>
      </c>
      <c r="AS4" s="30" t="str">
        <f aca="false">IF(AS36 = 0,999,AS20)</f>
        <v>2.13.3</v>
      </c>
      <c r="AT4" s="30" t="str">
        <f aca="false">IF(AT36 = 0,999,AT20)</f>
        <v>2.14.1</v>
      </c>
      <c r="AU4" s="30" t="str">
        <f aca="false">IF(AU36 = 0,999,AU20)</f>
        <v>2.15.1</v>
      </c>
      <c r="AV4" s="30" t="str">
        <f aca="false">IF(AV36 = 0,999,AV20)</f>
        <v>2.15.2</v>
      </c>
      <c r="AW4" s="30" t="str">
        <f aca="false">IF(AW36 = 0,999,AW20)</f>
        <v>2.15.3</v>
      </c>
      <c r="AX4" s="30" t="str">
        <f aca="false">IF(AX36 = 0,999,AX20)</f>
        <v>2.16.1</v>
      </c>
      <c r="AY4" s="30" t="str">
        <f aca="false">IF(AY36 = 0,999,AY20)</f>
        <v>2.17.1</v>
      </c>
      <c r="AZ4" s="30" t="str">
        <f aca="false">IF(AZ36 = 0,999,AZ20)</f>
        <v>2.17.2</v>
      </c>
      <c r="BA4" s="30" t="str">
        <f aca="false">IF(BA36 = 0,999,BA20)</f>
        <v>2.17.3</v>
      </c>
      <c r="BB4" s="30" t="str">
        <f aca="false">IF(BB36 = 0,999,BB20)</f>
        <v>2.17.4</v>
      </c>
      <c r="BC4" s="30" t="str">
        <f aca="false">IF(BC36 = 0,999,BC20)</f>
        <v>2.17.5</v>
      </c>
      <c r="BD4" s="30" t="str">
        <f aca="false">IF(BD36 = 0,999,BD20)</f>
        <v>2.17.6</v>
      </c>
      <c r="BE4" s="30" t="n">
        <f aca="false">IF(BE36 = 0,999,BE20)</f>
        <v>999</v>
      </c>
      <c r="BF4" s="30" t="str">
        <f aca="false">IF(BF36 = 0,999,BF20)</f>
        <v>2.18.1</v>
      </c>
      <c r="BG4" s="30" t="s">
        <v>22</v>
      </c>
      <c r="BH4" s="30" t="s">
        <v>23</v>
      </c>
      <c r="BI4" s="31" t="n">
        <f aca="false">IF(BI36 = 0,999,BI20)</f>
        <v>999</v>
      </c>
    </row>
    <row r="5" customFormat="false" ht="15" hidden="false" customHeight="false" outlineLevel="0" collapsed="false">
      <c r="A5" s="32" t="s">
        <v>24</v>
      </c>
      <c r="B5" s="33" t="n">
        <f aca="false">IF(B$36=0,0.1,B26/B$36)</f>
        <v>0.00173</v>
      </c>
      <c r="C5" s="34" t="n">
        <f aca="false">IF(C$36=0,0.1,C26/C$36)</f>
        <v>0.00158686983150674</v>
      </c>
      <c r="D5" s="34" t="n">
        <f aca="false">IF(D$36=0,0.1,D26/D$36)</f>
        <v>0.00094</v>
      </c>
      <c r="E5" s="34" t="n">
        <f aca="false">IF(E$36=0,0.1,E26/E$36)</f>
        <v>0.00075</v>
      </c>
      <c r="F5" s="34" t="n">
        <f aca="false">IF(F$36=0,0.1,F26/F$36)</f>
        <v>0.00116</v>
      </c>
      <c r="G5" s="34" t="n">
        <f aca="false">IF(G$36=0,0.1,G26/G$36)</f>
        <v>0.00106</v>
      </c>
      <c r="H5" s="34" t="n">
        <f aca="false">IF(H$36=0,0.1,H26/H$36)</f>
        <v>0.00103</v>
      </c>
      <c r="I5" s="34" t="n">
        <f aca="false">IF(I$36=0,0.1,I26/I$36)</f>
        <v>0.00063</v>
      </c>
      <c r="J5" s="34" t="n">
        <f aca="false">IF(J$36=0,0.1,J26/J$36)</f>
        <v>0.00125</v>
      </c>
      <c r="K5" s="34" t="n">
        <f aca="false">IF(K$36=0,0.1,K26/K$36)</f>
        <v>0.00106</v>
      </c>
      <c r="L5" s="34" t="n">
        <f aca="false">IF(L$36=0,0.1,L26/L$36)</f>
        <v>0.00815046348450469</v>
      </c>
      <c r="M5" s="34" t="n">
        <f aca="false">IF(M$36=0,0.1,M26/M$36)</f>
        <v>0.00815284589468362</v>
      </c>
      <c r="N5" s="34" t="n">
        <f aca="false">IF(N$36=0,0.1,N26/N$36)</f>
        <v>0.00015919261376909</v>
      </c>
      <c r="O5" s="34" t="n">
        <f aca="false">IF(O$36=0,0.1,O26/O$36)</f>
        <v>0.000158747461163894</v>
      </c>
      <c r="P5" s="34" t="n">
        <f aca="false">IF(P$36=0,0.1,P26/P$36)</f>
        <v>9.78614995543887E-005</v>
      </c>
      <c r="Q5" s="34" t="n">
        <f aca="false">IF(Q$36=0,0.1,Q26/Q$36)</f>
        <v>0.00112599998544753</v>
      </c>
      <c r="R5" s="34" t="n">
        <f aca="false">IF(R$36=0,0.1,R26/R$36)</f>
        <v>0.00359</v>
      </c>
      <c r="S5" s="34" t="n">
        <f aca="false">IF(S$36=0,0.1,S26/S$36)</f>
        <v>0.00359</v>
      </c>
      <c r="T5" s="34" t="n">
        <f aca="false">IF(T$36=0,0.1,T26/T$36)</f>
        <v>5.10418212527619E-005</v>
      </c>
      <c r="U5" s="34" t="n">
        <f aca="false">IF(U$36=0,0.1,U26/U$36)</f>
        <v>0.000104920869911882</v>
      </c>
      <c r="V5" s="34" t="n">
        <f aca="false">IF(V$36=0,0.1,V26/V$36)</f>
        <v>0.000992797587399657</v>
      </c>
      <c r="W5" s="34" t="n">
        <f aca="false">IF(W$36=0,0.1,W26/W$36)</f>
        <v>0.02372</v>
      </c>
      <c r="X5" s="34" t="n">
        <f aca="false">IF(X$36=0,0.1,X26/X$36)</f>
        <v>0.00176</v>
      </c>
      <c r="Y5" s="34" t="n">
        <f aca="false">IF(Y$36=0,0.1,Y26/Y$36)</f>
        <v>0.00259</v>
      </c>
      <c r="Z5" s="34" t="n">
        <f aca="false">IF(Z$36=0,0.1,Z26/Z$36)</f>
        <v>0.00321</v>
      </c>
      <c r="AA5" s="34" t="n">
        <f aca="false">IF(AA$36=0,0.1,AA26/AA$36)</f>
        <v>0.1</v>
      </c>
      <c r="AB5" s="34" t="n">
        <f aca="false">IF(AB$36=0,0.1,AB26/AB$36)</f>
        <v>0.00145</v>
      </c>
      <c r="AC5" s="34" t="n">
        <f aca="false">IF(AC$36=0,0.1,AC26/AC$36)</f>
        <v>0.00101</v>
      </c>
      <c r="AD5" s="34" t="n">
        <f aca="false">IF(AD$36=0,0.1,AD26/AD$36)</f>
        <v>0.01552</v>
      </c>
      <c r="AE5" s="34" t="n">
        <f aca="false">IF(AE$36=0,0.1,AE26/AE$36)</f>
        <v>0.0041</v>
      </c>
      <c r="AF5" s="34" t="n">
        <f aca="false">IF(AF$36=0,0.1,AF26/AF$36)</f>
        <v>0.00149</v>
      </c>
      <c r="AG5" s="34" t="n">
        <f aca="false">IF(AG$36=0,0.1,AG26/AG$36)</f>
        <v>0.00087</v>
      </c>
      <c r="AH5" s="34" t="n">
        <f aca="false">IF(AH$36=0,0.1,AH26/AH$36)</f>
        <v>0.00212</v>
      </c>
      <c r="AI5" s="34" t="n">
        <f aca="false">IF(AI$36=0,0.1,AI26/AI$36)</f>
        <v>0.00165</v>
      </c>
      <c r="AJ5" s="34" t="n">
        <f aca="false">IF(AJ$36=0,0.1,AJ26/AJ$36)</f>
        <v>0.00165</v>
      </c>
      <c r="AK5" s="34" t="n">
        <f aca="false">IF(AK$36=0,0.1,AK26/AK$36)</f>
        <v>0.00109</v>
      </c>
      <c r="AL5" s="34" t="n">
        <f aca="false">IF(AL$36=0,0.1,AL26/AL$36)</f>
        <v>0.00179</v>
      </c>
      <c r="AM5" s="34" t="n">
        <f aca="false">IF(AM$36=0,0.1,AM26/AM$36)</f>
        <v>0.00096</v>
      </c>
      <c r="AN5" s="34" t="n">
        <f aca="false">IF(AN$36=0,0.1,AN26/AN$36)</f>
        <v>0.00132</v>
      </c>
      <c r="AO5" s="34" t="n">
        <f aca="false">IF(AO$36=0,0.1,AO26/AO$36)</f>
        <v>0.0018</v>
      </c>
      <c r="AP5" s="34" t="n">
        <f aca="false">IF(AP$36=0,0.1,AP26/AP$36)</f>
        <v>0.0018</v>
      </c>
      <c r="AQ5" s="34" t="n">
        <f aca="false">IF(AQ$36=0,0.1,AQ26/AQ$36)</f>
        <v>0.00419</v>
      </c>
      <c r="AR5" s="34" t="n">
        <f aca="false">IF(AR$36=0,0.1,AR26/AR$36)</f>
        <v>0.00226</v>
      </c>
      <c r="AS5" s="34" t="n">
        <f aca="false">IF(AS$36=0,0.1,AS26/AS$36)</f>
        <v>0.00121</v>
      </c>
      <c r="AT5" s="34" t="n">
        <f aca="false">IF(AT$36=0,0.1,AT26/AT$36)</f>
        <v>0.00182</v>
      </c>
      <c r="AU5" s="34" t="n">
        <f aca="false">IF(AU$36=0,0.1,AU26/AU$36)</f>
        <v>0.00412</v>
      </c>
      <c r="AV5" s="34" t="n">
        <f aca="false">IF(AV$36=0,0.1,AV26/AV$36)</f>
        <v>0.00714</v>
      </c>
      <c r="AW5" s="34" t="n">
        <f aca="false">IF(AW$36=0,0.1,AW26/AW$36)</f>
        <v>0</v>
      </c>
      <c r="AX5" s="34" t="n">
        <f aca="false">IF(AX$36=0,0.1,AX26/AX$36)</f>
        <v>0.01455</v>
      </c>
      <c r="AY5" s="34" t="n">
        <f aca="false">IF(AY$36=0,0.1,AY26/AY$36)</f>
        <v>0.0035</v>
      </c>
      <c r="AZ5" s="34" t="n">
        <f aca="false">IF(AZ$36=0,0.1,AZ26/AZ$36)</f>
        <v>0.00386</v>
      </c>
      <c r="BA5" s="34" t="n">
        <f aca="false">IF(BA$36=0,0.1,BA26/BA$36)</f>
        <v>0.00452</v>
      </c>
      <c r="BB5" s="34" t="n">
        <f aca="false">IF(BB$36=0,0.1,BB26/BB$36)</f>
        <v>0.0067</v>
      </c>
      <c r="BC5" s="34" t="n">
        <f aca="false">IF(BC$36=0,0.1,BC26/BC$36)</f>
        <v>0.00674</v>
      </c>
      <c r="BD5" s="34" t="n">
        <f aca="false">IF(BD$36=0,0.1,BD26/BD$36)</f>
        <v>0.00231</v>
      </c>
      <c r="BE5" s="34" t="n">
        <f aca="false">IF(BE$36=0,0.1,BE26/BE$36)</f>
        <v>0.1</v>
      </c>
      <c r="BF5" s="34" t="n">
        <f aca="false">IF(BF$36=0,0.1,BF26/BF$36)</f>
        <v>0.00117</v>
      </c>
      <c r="BG5" s="34" t="n">
        <f aca="false">IF(BG$36=0,0.1,BG26/BG$36)</f>
        <v>0.00534</v>
      </c>
      <c r="BH5" s="34" t="n">
        <f aca="false">IF(BH$36=0,0.1,BH26/BH$36)</f>
        <v>0.00085</v>
      </c>
      <c r="BI5" s="35" t="n">
        <f aca="false">IF(BI$36=0,0.1,BI26/BI$36)</f>
        <v>0.1</v>
      </c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</row>
    <row r="6" customFormat="false" ht="15" hidden="false" customHeight="false" outlineLevel="0" collapsed="false">
      <c r="A6" s="37" t="s">
        <v>25</v>
      </c>
      <c r="B6" s="38" t="n">
        <f aca="false">IF(B$36=0,0.1,B27/B$36)</f>
        <v>0.00583</v>
      </c>
      <c r="C6" s="39" t="n">
        <f aca="false">IF(C$36=0,0.1,C27/C$36)</f>
        <v>0.0273080123376369</v>
      </c>
      <c r="D6" s="39" t="n">
        <f aca="false">IF(D$36=0,0.1,D27/D$36)</f>
        <v>0.00589</v>
      </c>
      <c r="E6" s="39" t="n">
        <f aca="false">IF(E$36=0,0.1,E27/E$36)</f>
        <v>0.00598</v>
      </c>
      <c r="F6" s="39" t="n">
        <f aca="false">IF(F$36=0,0.1,F27/F$36)</f>
        <v>0.00607</v>
      </c>
      <c r="G6" s="39" t="n">
        <f aca="false">IF(G$36=0,0.1,G27/G$36)</f>
        <v>0.00649</v>
      </c>
      <c r="H6" s="39" t="n">
        <f aca="false">IF(H$36=0,0.1,H27/H$36)</f>
        <v>0.00585</v>
      </c>
      <c r="I6" s="39" t="n">
        <f aca="false">IF(I$36=0,0.1,I27/I$36)</f>
        <v>0.01904</v>
      </c>
      <c r="J6" s="39" t="n">
        <f aca="false">IF(J$36=0,0.1,J27/J$36)</f>
        <v>0.00582</v>
      </c>
      <c r="K6" s="39" t="n">
        <f aca="false">IF(K$36=0,0.1,K27/K$36)</f>
        <v>0.00929</v>
      </c>
      <c r="L6" s="39" t="n">
        <f aca="false">IF(L$36=0,0.1,L27/L$36)</f>
        <v>0.0109182936376362</v>
      </c>
      <c r="M6" s="39" t="n">
        <f aca="false">IF(M$36=0,0.1,M27/M$36)</f>
        <v>0.0109173399029359</v>
      </c>
      <c r="N6" s="39" t="n">
        <f aca="false">IF(N$36=0,0.1,N27/N$36)</f>
        <v>0.00605452786008811</v>
      </c>
      <c r="O6" s="39" t="n">
        <f aca="false">IF(O$36=0,0.1,O27/O$36)</f>
        <v>0.00605738112800371</v>
      </c>
      <c r="P6" s="39" t="n">
        <f aca="false">IF(P$36=0,0.1,P27/P$36)</f>
        <v>0.00589076109293569</v>
      </c>
      <c r="Q6" s="39" t="n">
        <f aca="false">IF(Q$36=0,0.1,Q27/Q$36)</f>
        <v>0.00621500014332682</v>
      </c>
      <c r="R6" s="39" t="n">
        <f aca="false">IF(R$36=0,0.1,R27/R$36)</f>
        <v>0.00847000000000001</v>
      </c>
      <c r="S6" s="39" t="n">
        <f aca="false">IF(S$36=0,0.1,S27/S$36)</f>
        <v>0.00847</v>
      </c>
      <c r="T6" s="39" t="n">
        <f aca="false">IF(T$36=0,0.1,T27/T$36)</f>
        <v>0.00594280509347589</v>
      </c>
      <c r="U6" s="39" t="n">
        <f aca="false">IF(U$36=0,0.1,U27/U$36)</f>
        <v>0.00593050870793419</v>
      </c>
      <c r="V6" s="39" t="n">
        <f aca="false">IF(V$36=0,0.1,V27/V$36)</f>
        <v>0.00602165275670235</v>
      </c>
      <c r="W6" s="39" t="n">
        <f aca="false">IF(W$36=0,0.1,W27/W$36)</f>
        <v>0.01429</v>
      </c>
      <c r="X6" s="39" t="n">
        <f aca="false">IF(X$36=0,0.1,X27/X$36)</f>
        <v>0.00485</v>
      </c>
      <c r="Y6" s="39" t="n">
        <f aca="false">IF(Y$36=0,0.1,Y27/Y$36)</f>
        <v>0.01405</v>
      </c>
      <c r="Z6" s="39" t="n">
        <f aca="false">IF(Z$36=0,0.1,Z27/Z$36)</f>
        <v>0.01291</v>
      </c>
      <c r="AA6" s="39" t="n">
        <f aca="false">IF(AA$36=0,0.1,AA27/AA$36)</f>
        <v>0.1</v>
      </c>
      <c r="AB6" s="39" t="n">
        <f aca="false">IF(AB$36=0,0.1,AB27/AB$36)</f>
        <v>0.00962</v>
      </c>
      <c r="AC6" s="39" t="n">
        <f aca="false">IF(AC$36=0,0.1,AC27/AC$36)</f>
        <v>0.00827000000000001</v>
      </c>
      <c r="AD6" s="39" t="n">
        <f aca="false">IF(AD$36=0,0.1,AD27/AD$36)</f>
        <v>0.01198</v>
      </c>
      <c r="AE6" s="39" t="n">
        <f aca="false">IF(AE$36=0,0.1,AE27/AE$36)</f>
        <v>0.00872</v>
      </c>
      <c r="AF6" s="39" t="n">
        <f aca="false">IF(AF$36=0,0.1,AF27/AF$36)</f>
        <v>0.00795</v>
      </c>
      <c r="AG6" s="39" t="n">
        <f aca="false">IF(AG$36=0,0.1,AG27/AG$36)</f>
        <v>0.00986</v>
      </c>
      <c r="AH6" s="39" t="n">
        <f aca="false">IF(AH$36=0,0.1,AH27/AH$36)</f>
        <v>0.00924</v>
      </c>
      <c r="AI6" s="39" t="n">
        <f aca="false">IF(AI$36=0,0.1,AI27/AI$36)</f>
        <v>0.00866</v>
      </c>
      <c r="AJ6" s="39" t="n">
        <f aca="false">IF(AJ$36=0,0.1,AJ27/AJ$36)</f>
        <v>0.00866</v>
      </c>
      <c r="AK6" s="39" t="n">
        <f aca="false">IF(AK$36=0,0.1,AK27/AK$36)</f>
        <v>0.01045</v>
      </c>
      <c r="AL6" s="39" t="n">
        <f aca="false">IF(AL$36=0,0.1,AL27/AL$36)</f>
        <v>0.00802</v>
      </c>
      <c r="AM6" s="39" t="n">
        <f aca="false">IF(AM$36=0,0.1,AM27/AM$36)</f>
        <v>0.00736</v>
      </c>
      <c r="AN6" s="39" t="n">
        <f aca="false">IF(AN$36=0,0.1,AN27/AN$36)</f>
        <v>0.00923000000000001</v>
      </c>
      <c r="AO6" s="39" t="n">
        <f aca="false">IF(AO$36=0,0.1,AO27/AO$36)</f>
        <v>0.00631</v>
      </c>
      <c r="AP6" s="39" t="n">
        <f aca="false">IF(AP$36=0,0.1,AP27/AP$36)</f>
        <v>0.00631</v>
      </c>
      <c r="AQ6" s="39" t="n">
        <f aca="false">IF(AQ$36=0,0.1,AQ27/AQ$36)</f>
        <v>0.0077</v>
      </c>
      <c r="AR6" s="39" t="n">
        <f aca="false">IF(AR$36=0,0.1,AR27/AR$36)</f>
        <v>0.00596</v>
      </c>
      <c r="AS6" s="39" t="n">
        <f aca="false">IF(AS$36=0,0.1,AS27/AS$36)</f>
        <v>0.00673</v>
      </c>
      <c r="AT6" s="39" t="n">
        <f aca="false">IF(AT$36=0,0.1,AT27/AT$36)</f>
        <v>0.00667</v>
      </c>
      <c r="AU6" s="39" t="n">
        <f aca="false">IF(AU$36=0,0.1,AU27/AU$36)</f>
        <v>0.01991</v>
      </c>
      <c r="AV6" s="39" t="n">
        <f aca="false">IF(AV$36=0,0.1,AV27/AV$36)</f>
        <v>0.01323</v>
      </c>
      <c r="AW6" s="39" t="n">
        <f aca="false">IF(AW$36=0,0.1,AW27/AW$36)</f>
        <v>0</v>
      </c>
      <c r="AX6" s="39" t="n">
        <f aca="false">IF(AX$36=0,0.1,AX27/AX$36)</f>
        <v>0.01173</v>
      </c>
      <c r="AY6" s="39" t="n">
        <f aca="false">IF(AY$36=0,0.1,AY27/AY$36)</f>
        <v>0.01262</v>
      </c>
      <c r="AZ6" s="39" t="n">
        <f aca="false">IF(AZ$36=0,0.1,AZ27/AZ$36)</f>
        <v>0.01243</v>
      </c>
      <c r="BA6" s="39" t="n">
        <f aca="false">IF(BA$36=0,0.1,BA27/BA$36)</f>
        <v>0.01557</v>
      </c>
      <c r="BB6" s="39" t="n">
        <f aca="false">IF(BB$36=0,0.1,BB27/BB$36)</f>
        <v>0.01207</v>
      </c>
      <c r="BC6" s="39" t="n">
        <f aca="false">IF(BC$36=0,0.1,BC27/BC$36)</f>
        <v>0.01324</v>
      </c>
      <c r="BD6" s="39" t="n">
        <f aca="false">IF(BD$36=0,0.1,BD27/BD$36)</f>
        <v>0.00898</v>
      </c>
      <c r="BE6" s="39" t="n">
        <f aca="false">IF(BE$36=0,0.1,BE27/BE$36)</f>
        <v>0.1</v>
      </c>
      <c r="BF6" s="39" t="n">
        <f aca="false">IF(BF$36=0,0.1,BF27/BF$36)</f>
        <v>0.0102</v>
      </c>
      <c r="BG6" s="39" t="n">
        <f aca="false">IF(BG$36=0,0.1,BG27/BG$36)</f>
        <v>0.00769</v>
      </c>
      <c r="BH6" s="39" t="n">
        <f aca="false">IF(BH$36=0,0.1,BH27/BH$36)</f>
        <v>0.0077</v>
      </c>
      <c r="BI6" s="40" t="n">
        <f aca="false">IF(BI$36=0,0.1,BI27/BI$36)</f>
        <v>0.1</v>
      </c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</row>
    <row r="7" customFormat="false" ht="15" hidden="false" customHeight="false" outlineLevel="0" collapsed="false">
      <c r="A7" s="37" t="s">
        <v>26</v>
      </c>
      <c r="B7" s="38" t="n">
        <f aca="false">IF(B$36=0,0.1,B28/B$36)</f>
        <v>0.80962</v>
      </c>
      <c r="C7" s="39" t="n">
        <f aca="false">IF(C$36=0,0.1,C28/C$36)</f>
        <v>0.8022826434983</v>
      </c>
      <c r="D7" s="39" t="n">
        <f aca="false">IF(D$36=0,0.1,D28/D$36)</f>
        <v>0.80804</v>
      </c>
      <c r="E7" s="39" t="n">
        <f aca="false">IF(E$36=0,0.1,E28/E$36)</f>
        <v>0.8224</v>
      </c>
      <c r="F7" s="39" t="n">
        <f aca="false">IF(F$36=0,0.1,F28/F$36)</f>
        <v>0.80086</v>
      </c>
      <c r="G7" s="39" t="n">
        <f aca="false">IF(G$36=0,0.1,G28/G$36)</f>
        <v>0.80641</v>
      </c>
      <c r="H7" s="39" t="n">
        <f aca="false">IF(H$36=0,0.1,H28/H$36)</f>
        <v>0.79578</v>
      </c>
      <c r="I7" s="39" t="n">
        <f aca="false">IF(I$36=0,0.1,I28/I$36)</f>
        <v>0.79513</v>
      </c>
      <c r="J7" s="39" t="n">
        <f aca="false">IF(J$36=0,0.1,J28/J$36)</f>
        <v>0.81076</v>
      </c>
      <c r="K7" s="39" t="n">
        <f aca="false">IF(K$36=0,0.1,K28/K$36)</f>
        <v>0.77622</v>
      </c>
      <c r="L7" s="39" t="n">
        <f aca="false">IF(L$36=0,0.1,L28/L$36)</f>
        <v>0.791761852262325</v>
      </c>
      <c r="M7" s="39" t="n">
        <f aca="false">IF(M$36=0,0.1,M28/M$36)</f>
        <v>0.791767428241092</v>
      </c>
      <c r="N7" s="39" t="n">
        <f aca="false">IF(N$36=0,0.1,N28/N$36)</f>
        <v>0.807794004763849</v>
      </c>
      <c r="O7" s="39" t="n">
        <f aca="false">IF(O$36=0,0.1,O28/O$36)</f>
        <v>0.807971471859939</v>
      </c>
      <c r="P7" s="39" t="n">
        <f aca="false">IF(P$36=0,0.1,P28/P$36)</f>
        <v>0.806150897886608</v>
      </c>
      <c r="Q7" s="39" t="n">
        <f aca="false">IF(Q$36=0,0.1,Q28/Q$36)</f>
        <v>0.791595000041135</v>
      </c>
      <c r="R7" s="39" t="n">
        <f aca="false">IF(R$36=0,0.1,R28/R$36)</f>
        <v>0.80724</v>
      </c>
      <c r="S7" s="39" t="n">
        <f aca="false">IF(S$36=0,0.1,S28/S$36)</f>
        <v>0.80724</v>
      </c>
      <c r="T7" s="39" t="n">
        <f aca="false">IF(T$36=0,0.1,T28/T$36)</f>
        <v>0.812786633933168</v>
      </c>
      <c r="U7" s="39" t="n">
        <f aca="false">IF(U$36=0,0.1,U28/U$36)</f>
        <v>0.812436524143507</v>
      </c>
      <c r="V7" s="39" t="n">
        <f aca="false">IF(V$36=0,0.1,V28/V$36)</f>
        <v>0.791603281445004</v>
      </c>
      <c r="W7" s="39" t="n">
        <f aca="false">IF(W$36=0,0.1,W28/W$36)</f>
        <v>0.7831</v>
      </c>
      <c r="X7" s="39" t="n">
        <f aca="false">IF(X$36=0,0.1,X28/X$36)</f>
        <v>0.8588</v>
      </c>
      <c r="Y7" s="39" t="n">
        <f aca="false">IF(Y$36=0,0.1,Y28/Y$36)</f>
        <v>0.7014</v>
      </c>
      <c r="Z7" s="39" t="n">
        <f aca="false">IF(Z$36=0,0.1,Z28/Z$36)</f>
        <v>0.70355</v>
      </c>
      <c r="AA7" s="39" t="n">
        <f aca="false">IF(AA$36=0,0.1,AA28/AA$36)</f>
        <v>0.1</v>
      </c>
      <c r="AB7" s="39" t="n">
        <f aca="false">IF(AB$36=0,0.1,AB28/AB$36)</f>
        <v>0.7852</v>
      </c>
      <c r="AC7" s="39" t="n">
        <f aca="false">IF(AC$36=0,0.1,AC28/AC$36)</f>
        <v>0.78631</v>
      </c>
      <c r="AD7" s="39" t="n">
        <f aca="false">IF(AD$36=0,0.1,AD28/AD$36)</f>
        <v>0.78072</v>
      </c>
      <c r="AE7" s="39" t="n">
        <f aca="false">IF(AE$36=0,0.1,AE28/AE$36)</f>
        <v>0.69481</v>
      </c>
      <c r="AF7" s="39" t="n">
        <f aca="false">IF(AF$36=0,0.1,AF28/AF$36)</f>
        <v>0.78823</v>
      </c>
      <c r="AG7" s="39" t="n">
        <f aca="false">IF(AG$36=0,0.1,AG28/AG$36)</f>
        <v>0.79568</v>
      </c>
      <c r="AH7" s="39" t="n">
        <f aca="false">IF(AH$36=0,0.1,AH28/AH$36)</f>
        <v>0.7981</v>
      </c>
      <c r="AI7" s="39" t="n">
        <f aca="false">IF(AI$36=0,0.1,AI28/AI$36)</f>
        <v>0.77195</v>
      </c>
      <c r="AJ7" s="39" t="n">
        <f aca="false">IF(AJ$36=0,0.1,AJ28/AJ$36)</f>
        <v>0.77195</v>
      </c>
      <c r="AK7" s="39" t="n">
        <f aca="false">IF(AK$36=0,0.1,AK28/AK$36)</f>
        <v>0.78009</v>
      </c>
      <c r="AL7" s="39" t="n">
        <f aca="false">IF(AL$36=0,0.1,AL28/AL$36)</f>
        <v>0.7854</v>
      </c>
      <c r="AM7" s="39" t="n">
        <f aca="false">IF(AM$36=0,0.1,AM28/AM$36)</f>
        <v>0.81238</v>
      </c>
      <c r="AN7" s="39" t="n">
        <f aca="false">IF(AN$36=0,0.1,AN28/AN$36)</f>
        <v>0.8104</v>
      </c>
      <c r="AO7" s="39" t="n">
        <f aca="false">IF(AO$36=0,0.1,AO28/AO$36)</f>
        <v>0.85971</v>
      </c>
      <c r="AP7" s="39" t="n">
        <f aca="false">IF(AP$36=0,0.1,AP28/AP$36)</f>
        <v>0.85971</v>
      </c>
      <c r="AQ7" s="39" t="n">
        <f aca="false">IF(AQ$36=0,0.1,AQ28/AQ$36)</f>
        <v>0.82547</v>
      </c>
      <c r="AR7" s="39" t="n">
        <f aca="false">IF(AR$36=0,0.1,AR28/AR$36)</f>
        <v>0.84175</v>
      </c>
      <c r="AS7" s="39" t="n">
        <f aca="false">IF(AS$36=0,0.1,AS28/AS$36)</f>
        <v>0.84205</v>
      </c>
      <c r="AT7" s="39" t="n">
        <f aca="false">IF(AT$36=0,0.1,AT28/AT$36)</f>
        <v>0.84115</v>
      </c>
      <c r="AU7" s="39" t="n">
        <f aca="false">IF(AU$36=0,0.1,AU28/AU$36)</f>
        <v>0.79423</v>
      </c>
      <c r="AV7" s="39" t="n">
        <f aca="false">IF(AV$36=0,0.1,AV28/AV$36)</f>
        <v>0.7166</v>
      </c>
      <c r="AW7" s="39" t="n">
        <f aca="false">IF(AW$36=0,0.1,AW28/AW$36)</f>
        <v>1</v>
      </c>
      <c r="AX7" s="39" t="n">
        <f aca="false">IF(AX$36=0,0.1,AX28/AX$36)</f>
        <v>0.78171</v>
      </c>
      <c r="AY7" s="39" t="n">
        <f aca="false">IF(AY$36=0,0.1,AY28/AY$36)</f>
        <v>0.69271</v>
      </c>
      <c r="AZ7" s="39" t="n">
        <f aca="false">IF(AZ$36=0,0.1,AZ28/AZ$36)</f>
        <v>0.66996</v>
      </c>
      <c r="BA7" s="39" t="n">
        <f aca="false">IF(BA$36=0,0.1,BA28/BA$36)</f>
        <v>0.68605</v>
      </c>
      <c r="BB7" s="39" t="n">
        <f aca="false">IF(BB$36=0,0.1,BB28/BB$36)</f>
        <v>0.69703</v>
      </c>
      <c r="BC7" s="39" t="n">
        <f aca="false">IF(BC$36=0,0.1,BC28/BC$36)</f>
        <v>0.6768</v>
      </c>
      <c r="BD7" s="39" t="n">
        <f aca="false">IF(BD$36=0,0.1,BD28/BD$36)</f>
        <v>0.77321</v>
      </c>
      <c r="BE7" s="39" t="n">
        <f aca="false">IF(BE$36=0,0.1,BE28/BE$36)</f>
        <v>0.1</v>
      </c>
      <c r="BF7" s="39" t="n">
        <f aca="false">IF(BF$36=0,0.1,BF28/BF$36)</f>
        <v>0.7573</v>
      </c>
      <c r="BG7" s="39" t="n">
        <f aca="false">IF(BG$36=0,0.1,BG28/BG$36)</f>
        <v>0.70478</v>
      </c>
      <c r="BH7" s="39" t="n">
        <f aca="false">IF(BH$36=0,0.1,BH28/BH$36)</f>
        <v>0.73096</v>
      </c>
      <c r="BI7" s="40" t="n">
        <f aca="false">IF(BI$36=0,0.1,BI28/BI$36)</f>
        <v>0.1</v>
      </c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</row>
    <row r="8" customFormat="false" ht="15" hidden="false" customHeight="false" outlineLevel="0" collapsed="false">
      <c r="A8" s="37" t="s">
        <v>27</v>
      </c>
      <c r="B8" s="38" t="n">
        <f aca="false">IF(B$36=0,0.1,B29/B$36)</f>
        <v>0.10678</v>
      </c>
      <c r="C8" s="39" t="n">
        <f aca="false">IF(C$36=0,0.1,C29/C$36)</f>
        <v>0.107605031009705</v>
      </c>
      <c r="D8" s="39" t="n">
        <f aca="false">IF(D$36=0,0.1,D29/D$36)</f>
        <v>0.10688</v>
      </c>
      <c r="E8" s="39" t="n">
        <f aca="false">IF(E$36=0,0.1,E29/E$36)</f>
        <v>0.10975</v>
      </c>
      <c r="F8" s="39" t="n">
        <f aca="false">IF(F$36=0,0.1,F29/F$36)</f>
        <v>0.10925</v>
      </c>
      <c r="G8" s="39" t="n">
        <f aca="false">IF(G$36=0,0.1,G29/G$36)</f>
        <v>0.10992</v>
      </c>
      <c r="H8" s="39" t="n">
        <f aca="false">IF(H$36=0,0.1,H29/H$36)</f>
        <v>0.11038</v>
      </c>
      <c r="I8" s="39" t="n">
        <f aca="false">IF(I$36=0,0.1,I29/I$36)</f>
        <v>0.10982</v>
      </c>
      <c r="J8" s="39" t="n">
        <f aca="false">IF(J$36=0,0.1,J29/J$36)</f>
        <v>0.10555</v>
      </c>
      <c r="K8" s="39" t="n">
        <f aca="false">IF(K$36=0,0.1,K29/K$36)</f>
        <v>0.1139</v>
      </c>
      <c r="L8" s="39" t="n">
        <f aca="false">IF(L$36=0,0.1,L29/L$36)</f>
        <v>0.0943309497965537</v>
      </c>
      <c r="M8" s="39" t="n">
        <f aca="false">IF(M$36=0,0.1,M29/M$36)</f>
        <v>0.0943254332576026</v>
      </c>
      <c r="N8" s="39" t="n">
        <f aca="false">IF(N$36=0,0.1,N29/N$36)</f>
        <v>0.105911153981741</v>
      </c>
      <c r="O8" s="39" t="n">
        <f aca="false">IF(O$36=0,0.1,O29/O$36)</f>
        <v>0.105877153394707</v>
      </c>
      <c r="P8" s="39" t="n">
        <f aca="false">IF(P$36=0,0.1,P29/P$36)</f>
        <v>0.106346550125933</v>
      </c>
      <c r="Q8" s="39" t="n">
        <f aca="false">IF(Q$36=0,0.1,Q29/Q$36)</f>
        <v>0.107407998878646</v>
      </c>
      <c r="R8" s="39" t="n">
        <f aca="false">IF(R$36=0,0.1,R29/R$36)</f>
        <v>0.10702</v>
      </c>
      <c r="S8" s="39" t="n">
        <f aca="false">IF(S$36=0,0.1,S29/S$36)</f>
        <v>0.10702</v>
      </c>
      <c r="T8" s="39" t="n">
        <f aca="false">IF(T$36=0,0.1,T29/T$36)</f>
        <v>0.105018070990961</v>
      </c>
      <c r="U8" s="39" t="n">
        <f aca="false">IF(U$36=0,0.1,U29/U$36)</f>
        <v>0.105658812628042</v>
      </c>
      <c r="V8" s="39" t="n">
        <f aca="false">IF(V$36=0,0.1,V29/V$36)</f>
        <v>0.111755138206189</v>
      </c>
      <c r="W8" s="39" t="n">
        <f aca="false">IF(W$36=0,0.1,W29/W$36)</f>
        <v>0.09607</v>
      </c>
      <c r="X8" s="39" t="n">
        <f aca="false">IF(X$36=0,0.1,X29/X$36)</f>
        <v>0.0733299999999999</v>
      </c>
      <c r="Y8" s="39" t="n">
        <f aca="false">IF(Y$36=0,0.1,Y29/Y$36)</f>
        <v>0.12827</v>
      </c>
      <c r="Z8" s="39" t="n">
        <f aca="false">IF(Z$36=0,0.1,Z29/Z$36)</f>
        <v>0.12637</v>
      </c>
      <c r="AA8" s="39" t="n">
        <f aca="false">IF(AA$36=0,0.1,AA29/AA$36)</f>
        <v>0.1</v>
      </c>
      <c r="AB8" s="39" t="n">
        <f aca="false">IF(AB$36=0,0.1,AB29/AB$36)</f>
        <v>0.11321</v>
      </c>
      <c r="AC8" s="39" t="n">
        <f aca="false">IF(AC$36=0,0.1,AC29/AC$36)</f>
        <v>0.11052</v>
      </c>
      <c r="AD8" s="39" t="n">
        <f aca="false">IF(AD$36=0,0.1,AD29/AD$36)</f>
        <v>0.10824</v>
      </c>
      <c r="AE8" s="39" t="n">
        <f aca="false">IF(AE$36=0,0.1,AE29/AE$36)</f>
        <v>0.14651</v>
      </c>
      <c r="AF8" s="39" t="n">
        <f aca="false">IF(AF$36=0,0.1,AF29/AF$36)</f>
        <v>0.11069</v>
      </c>
      <c r="AG8" s="39" t="n">
        <f aca="false">IF(AG$36=0,0.1,AG29/AG$36)</f>
        <v>0.11194</v>
      </c>
      <c r="AH8" s="39" t="n">
        <f aca="false">IF(AH$36=0,0.1,AH29/AH$36)</f>
        <v>0.10702</v>
      </c>
      <c r="AI8" s="39" t="n">
        <f aca="false">IF(AI$36=0,0.1,AI29/AI$36)</f>
        <v>0.11392</v>
      </c>
      <c r="AJ8" s="39" t="n">
        <f aca="false">IF(AJ$36=0,0.1,AJ29/AJ$36)</f>
        <v>0.11392</v>
      </c>
      <c r="AK8" s="39" t="n">
        <f aca="false">IF(AK$36=0,0.1,AK29/AK$36)</f>
        <v>0.11578</v>
      </c>
      <c r="AL8" s="39" t="n">
        <f aca="false">IF(AL$36=0,0.1,AL29/AL$36)</f>
        <v>0.11158</v>
      </c>
      <c r="AM8" s="39" t="n">
        <f aca="false">IF(AM$36=0,0.1,AM29/AM$36)</f>
        <v>0.10675</v>
      </c>
      <c r="AN8" s="39" t="n">
        <f aca="false">IF(AN$36=0,0.1,AN29/AN$36)</f>
        <v>0.10067</v>
      </c>
      <c r="AO8" s="39" t="n">
        <f aca="false">IF(AO$36=0,0.1,AO29/AO$36)</f>
        <v>0.07221</v>
      </c>
      <c r="AP8" s="39" t="n">
        <f aca="false">IF(AP$36=0,0.1,AP29/AP$36)</f>
        <v>0.07221</v>
      </c>
      <c r="AQ8" s="39" t="n">
        <f aca="false">IF(AQ$36=0,0.1,AQ29/AQ$36)</f>
        <v>0.08933</v>
      </c>
      <c r="AR8" s="39" t="n">
        <f aca="false">IF(AR$36=0,0.1,AR29/AR$36)</f>
        <v>0.0774</v>
      </c>
      <c r="AS8" s="39" t="n">
        <f aca="false">IF(AS$36=0,0.1,AS29/AS$36)</f>
        <v>0.07615</v>
      </c>
      <c r="AT8" s="39" t="n">
        <f aca="false">IF(AT$36=0,0.1,AT29/AT$36)</f>
        <v>0.07703</v>
      </c>
      <c r="AU8" s="39" t="n">
        <f aca="false">IF(AU$36=0,0.1,AU29/AU$36)</f>
        <v>0.08872</v>
      </c>
      <c r="AV8" s="39" t="n">
        <f aca="false">IF(AV$36=0,0.1,AV29/AV$36)</f>
        <v>0.12662</v>
      </c>
      <c r="AW8" s="39" t="n">
        <f aca="false">IF(AW$36=0,0.1,AW29/AW$36)</f>
        <v>0</v>
      </c>
      <c r="AX8" s="39" t="n">
        <f aca="false">IF(AX$36=0,0.1,AX29/AX$36)</f>
        <v>0.10944</v>
      </c>
      <c r="AY8" s="39" t="n">
        <f aca="false">IF(AY$36=0,0.1,AY29/AY$36)</f>
        <v>0.13537</v>
      </c>
      <c r="AZ8" s="39" t="n">
        <f aca="false">IF(AZ$36=0,0.1,AZ29/AZ$36)</f>
        <v>0.12796</v>
      </c>
      <c r="BA8" s="39" t="n">
        <f aca="false">IF(BA$36=0,0.1,BA29/BA$36)</f>
        <v>0.13605</v>
      </c>
      <c r="BB8" s="39" t="n">
        <f aca="false">IF(BB$36=0,0.1,BB29/BB$36)</f>
        <v>0.13688</v>
      </c>
      <c r="BC8" s="39" t="n">
        <f aca="false">IF(BC$36=0,0.1,BC29/BC$36)</f>
        <v>0.13238</v>
      </c>
      <c r="BD8" s="39" t="n">
        <f aca="false">IF(BD$36=0,0.1,BD29/BD$36)</f>
        <v>0.0942</v>
      </c>
      <c r="BE8" s="39" t="n">
        <f aca="false">IF(BE$36=0,0.1,BE29/BE$36)</f>
        <v>0.1</v>
      </c>
      <c r="BF8" s="39" t="n">
        <f aca="false">IF(BF$36=0,0.1,BF29/BF$36)</f>
        <v>0.12299</v>
      </c>
      <c r="BG8" s="39" t="n">
        <f aca="false">IF(BG$36=0,0.1,BG29/BG$36)</f>
        <v>0.14337</v>
      </c>
      <c r="BH8" s="39" t="n">
        <f aca="false">IF(BH$36=0,0.1,BH29/BH$36)</f>
        <v>0.13183</v>
      </c>
      <c r="BI8" s="40" t="n">
        <f aca="false">IF(BI$36=0,0.1,BI29/BI$36)</f>
        <v>0.1</v>
      </c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</row>
    <row r="9" customFormat="false" ht="15" hidden="false" customHeight="false" outlineLevel="0" collapsed="false">
      <c r="A9" s="37" t="s">
        <v>28</v>
      </c>
      <c r="B9" s="38" t="n">
        <f aca="false">IF(B$36=0,0.1,B30/B$36)</f>
        <v>0.03898</v>
      </c>
      <c r="C9" s="39" t="n">
        <f aca="false">IF(C$36=0,0.1,C30/C$36)</f>
        <v>0.0369376323018847</v>
      </c>
      <c r="D9" s="39" t="n">
        <f aca="false">IF(D$36=0,0.1,D30/D$36)</f>
        <v>0.0416</v>
      </c>
      <c r="E9" s="39" t="n">
        <f aca="false">IF(E$36=0,0.1,E30/E$36)</f>
        <v>0.04042</v>
      </c>
      <c r="F9" s="39" t="n">
        <f aca="false">IF(F$36=0,0.1,F30/F$36)</f>
        <v>0.04435</v>
      </c>
      <c r="G9" s="39" t="n">
        <f aca="false">IF(G$36=0,0.1,G30/G$36)</f>
        <v>0.04336</v>
      </c>
      <c r="H9" s="39" t="n">
        <f aca="false">IF(H$36=0,0.1,H30/H$36)</f>
        <v>0.04435</v>
      </c>
      <c r="I9" s="39" t="n">
        <f aca="false">IF(I$36=0,0.1,I30/I$36)</f>
        <v>0.04229</v>
      </c>
      <c r="J9" s="39" t="n">
        <f aca="false">IF(J$36=0,0.1,J30/J$36)</f>
        <v>0.04037</v>
      </c>
      <c r="K9" s="39" t="n">
        <f aca="false">IF(K$36=0,0.1,K30/K$36)</f>
        <v>0.05353</v>
      </c>
      <c r="L9" s="39" t="n">
        <f aca="false">IF(L$36=0,0.1,L30/L$36)</f>
        <v>0.0505057412411957</v>
      </c>
      <c r="M9" s="39" t="n">
        <f aca="false">IF(M$36=0,0.1,M30/M$36)</f>
        <v>0.0505028638155541</v>
      </c>
      <c r="N9" s="39" t="n">
        <f aca="false">IF(N$36=0,0.1,N30/N$36)</f>
        <v>0.0441724216613131</v>
      </c>
      <c r="O9" s="39" t="n">
        <f aca="false">IF(O$36=0,0.1,O30/O$36)</f>
        <v>0.0441222036293843</v>
      </c>
      <c r="P9" s="39" t="n">
        <f aca="false">IF(P$36=0,0.1,P30/P$36)</f>
        <v>0.0447012310867109</v>
      </c>
      <c r="Q9" s="39" t="n">
        <f aca="false">IF(Q$36=0,0.1,Q30/Q$36)</f>
        <v>0.0478789996387378</v>
      </c>
      <c r="R9" s="39" t="n">
        <f aca="false">IF(R$36=0,0.1,R30/R$36)</f>
        <v>0.0431</v>
      </c>
      <c r="S9" s="39" t="n">
        <f aca="false">IF(S$36=0,0.1,S30/S$36)</f>
        <v>0.0431</v>
      </c>
      <c r="T9" s="39" t="n">
        <f aca="false">IF(T$36=0,0.1,T30/T$36)</f>
        <v>0.0425902740849763</v>
      </c>
      <c r="U9" s="39" t="n">
        <f aca="false">IF(U$36=0,0.1,U30/U$36)</f>
        <v>0.0424323086398198</v>
      </c>
      <c r="V9" s="39" t="n">
        <f aca="false">IF(V$36=0,0.1,V30/V$36)</f>
        <v>0.0499296155837516</v>
      </c>
      <c r="W9" s="39" t="n">
        <f aca="false">IF(W$36=0,0.1,W30/W$36)</f>
        <v>0.04619</v>
      </c>
      <c r="X9" s="39" t="n">
        <f aca="false">IF(X$36=0,0.1,X30/X$36)</f>
        <v>0.03294</v>
      </c>
      <c r="Y9" s="39" t="n">
        <f aca="false">IF(Y$36=0,0.1,Y30/Y$36)</f>
        <v>0.08599</v>
      </c>
      <c r="Z9" s="39" t="n">
        <f aca="false">IF(Z$36=0,0.1,Z30/Z$36)</f>
        <v>0.08294</v>
      </c>
      <c r="AA9" s="39" t="n">
        <f aca="false">IF(AA$36=0,0.1,AA30/AA$36)</f>
        <v>0.1</v>
      </c>
      <c r="AB9" s="39" t="n">
        <f aca="false">IF(AB$36=0,0.1,AB30/AB$36)</f>
        <v>0.05149</v>
      </c>
      <c r="AC9" s="39" t="n">
        <f aca="false">IF(AC$36=0,0.1,AC30/AC$36)</f>
        <v>0.04952</v>
      </c>
      <c r="AD9" s="39" t="n">
        <f aca="false">IF(AD$36=0,0.1,AD30/AD$36)</f>
        <v>0.0478</v>
      </c>
      <c r="AE9" s="39" t="n">
        <f aca="false">IF(AE$36=0,0.1,AE30/AE$36)</f>
        <v>0.08564</v>
      </c>
      <c r="AF9" s="39" t="n">
        <f aca="false">IF(AF$36=0,0.1,AF30/AF$36)</f>
        <v>0.04789</v>
      </c>
      <c r="AG9" s="39" t="n">
        <f aca="false">IF(AG$36=0,0.1,AG30/AG$36)</f>
        <v>0.04827</v>
      </c>
      <c r="AH9" s="39" t="n">
        <f aca="false">IF(AH$36=0,0.1,AH30/AH$36)</f>
        <v>0.0462</v>
      </c>
      <c r="AI9" s="39" t="n">
        <f aca="false">IF(AI$36=0,0.1,AI30/AI$36)</f>
        <v>0.05235</v>
      </c>
      <c r="AJ9" s="39" t="n">
        <f aca="false">IF(AJ$36=0,0.1,AJ30/AJ$36)</f>
        <v>0.05235</v>
      </c>
      <c r="AK9" s="39" t="n">
        <f aca="false">IF(AK$36=0,0.1,AK30/AK$36)</f>
        <v>0.05413</v>
      </c>
      <c r="AL9" s="39" t="n">
        <f aca="false">IF(AL$36=0,0.1,AL30/AL$36)</f>
        <v>0.05019</v>
      </c>
      <c r="AM9" s="39" t="n">
        <f aca="false">IF(AM$36=0,0.1,AM30/AM$36)</f>
        <v>0.03984</v>
      </c>
      <c r="AN9" s="39" t="n">
        <f aca="false">IF(AN$36=0,0.1,AN30/AN$36)</f>
        <v>0.03911</v>
      </c>
      <c r="AO9" s="39" t="n">
        <f aca="false">IF(AO$36=0,0.1,AO30/AO$36)</f>
        <v>0.0324</v>
      </c>
      <c r="AP9" s="39" t="n">
        <f aca="false">IF(AP$36=0,0.1,AP30/AP$36)</f>
        <v>0.0324</v>
      </c>
      <c r="AQ9" s="39" t="n">
        <f aca="false">IF(AQ$36=0,0.1,AQ30/AQ$36)</f>
        <v>0.04244</v>
      </c>
      <c r="AR9" s="39" t="n">
        <f aca="false">IF(AR$36=0,0.1,AR30/AR$36)</f>
        <v>0.0377</v>
      </c>
      <c r="AS9" s="39" t="n">
        <f aca="false">IF(AS$36=0,0.1,AS30/AS$36)</f>
        <v>0.03665</v>
      </c>
      <c r="AT9" s="39" t="n">
        <f aca="false">IF(AT$36=0,0.1,AT30/AT$36)</f>
        <v>0.03801</v>
      </c>
      <c r="AU9" s="39" t="n">
        <f aca="false">IF(AU$36=0,0.1,AU30/AU$36)</f>
        <v>0.04711</v>
      </c>
      <c r="AV9" s="39" t="n">
        <f aca="false">IF(AV$36=0,0.1,AV30/AV$36)</f>
        <v>0.08253</v>
      </c>
      <c r="AW9" s="39" t="n">
        <f aca="false">IF(AW$36=0,0.1,AW30/AW$36)</f>
        <v>0</v>
      </c>
      <c r="AX9" s="39" t="n">
        <f aca="false">IF(AX$36=0,0.1,AX30/AX$36)</f>
        <v>0.04824</v>
      </c>
      <c r="AY9" s="39" t="n">
        <f aca="false">IF(AY$36=0,0.1,AY30/AY$36)</f>
        <v>0.08904</v>
      </c>
      <c r="AZ9" s="39" t="n">
        <f aca="false">IF(AZ$36=0,0.1,AZ30/AZ$36)</f>
        <v>0.09021</v>
      </c>
      <c r="BA9" s="39" t="n">
        <f aca="false">IF(BA$36=0,0.1,BA30/BA$36)</f>
        <v>0.0930300000000001</v>
      </c>
      <c r="BB9" s="39" t="n">
        <f aca="false">IF(BB$36=0,0.1,BB30/BB$36)</f>
        <v>0.08957</v>
      </c>
      <c r="BC9" s="39" t="n">
        <f aca="false">IF(BC$36=0,0.1,BC30/BC$36)</f>
        <v>0.08748</v>
      </c>
      <c r="BD9" s="39" t="n">
        <f aca="false">IF(BD$36=0,0.1,BD30/BD$36)</f>
        <v>0.0601</v>
      </c>
      <c r="BE9" s="39" t="n">
        <f aca="false">IF(BE$36=0,0.1,BE30/BE$36)</f>
        <v>0.1</v>
      </c>
      <c r="BF9" s="39" t="n">
        <f aca="false">IF(BF$36=0,0.1,BF30/BF$36)</f>
        <v>0.06199</v>
      </c>
      <c r="BG9" s="39" t="n">
        <f aca="false">IF(BG$36=0,0.1,BG30/BG$36)</f>
        <v>0.07781</v>
      </c>
      <c r="BH9" s="39" t="n">
        <f aca="false">IF(BH$36=0,0.1,BH30/BH$36)</f>
        <v>0.06905</v>
      </c>
      <c r="BI9" s="40" t="n">
        <f aca="false">IF(BI$36=0,0.1,BI30/BI$36)</f>
        <v>0.1</v>
      </c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</row>
    <row r="10" customFormat="false" ht="15" hidden="false" customHeight="false" outlineLevel="0" collapsed="false">
      <c r="A10" s="37" t="s">
        <v>29</v>
      </c>
      <c r="B10" s="38" t="n">
        <f aca="false">IF(B$36=0,0.1,B31/B$36)</f>
        <v>0.0062</v>
      </c>
      <c r="C10" s="39" t="n">
        <f aca="false">IF(C$36=0,0.1,C31/C$36)</f>
        <v>0.00553346829923889</v>
      </c>
      <c r="D10" s="39" t="n">
        <f aca="false">IF(D$36=0,0.1,D31/D$36)</f>
        <v>0.00697</v>
      </c>
      <c r="E10" s="39" t="n">
        <f aca="false">IF(E$36=0,0.1,E31/E$36)</f>
        <v>0.00592</v>
      </c>
      <c r="F10" s="39" t="n">
        <f aca="false">IF(F$36=0,0.1,F31/F$36)</f>
        <v>0.00702</v>
      </c>
      <c r="G10" s="39" t="n">
        <f aca="false">IF(G$36=0,0.1,G31/G$36)</f>
        <v>0.00668</v>
      </c>
      <c r="H10" s="39" t="n">
        <f aca="false">IF(H$36=0,0.1,H31/H$36)</f>
        <v>0.00776</v>
      </c>
      <c r="I10" s="39" t="n">
        <f aca="false">IF(I$36=0,0.1,I31/I$36)</f>
        <v>0.00698</v>
      </c>
      <c r="J10" s="39" t="n">
        <f aca="false">IF(J$36=0,0.1,J31/J$36)</f>
        <v>0.00705</v>
      </c>
      <c r="K10" s="39" t="n">
        <f aca="false">IF(K$36=0,0.1,K31/K$36)</f>
        <v>0.00802</v>
      </c>
      <c r="L10" s="39" t="n">
        <f aca="false">IF(L$36=0,0.1,L31/L$36)</f>
        <v>0.00949274638422708</v>
      </c>
      <c r="M10" s="39" t="n">
        <f aca="false">IF(M$36=0,0.1,M31/M$36)</f>
        <v>0.00949303802968028</v>
      </c>
      <c r="N10" s="39" t="n">
        <f aca="false">IF(N$36=0,0.1,N31/N$36)</f>
        <v>0.00696877749490332</v>
      </c>
      <c r="O10" s="39" t="n">
        <f aca="false">IF(O$36=0,0.1,O31/O$36)</f>
        <v>0.00695783668435176</v>
      </c>
      <c r="P10" s="39" t="n">
        <f aca="false">IF(P$36=0,0.1,P31/P$36)</f>
        <v>0.00715498522559988</v>
      </c>
      <c r="Q10" s="39" t="n">
        <f aca="false">IF(Q$36=0,0.1,Q31/Q$36)</f>
        <v>0.0076939999942571</v>
      </c>
      <c r="R10" s="39" t="n">
        <f aca="false">IF(R$36=0,0.1,R31/R$36)</f>
        <v>0.00626</v>
      </c>
      <c r="S10" s="39" t="n">
        <f aca="false">IF(S$36=0,0.1,S31/S$36)</f>
        <v>0.00626</v>
      </c>
      <c r="T10" s="39" t="n">
        <f aca="false">IF(T$36=0,0.1,T31/T$36)</f>
        <v>0.00694532701970005</v>
      </c>
      <c r="U10" s="39" t="n">
        <f aca="false">IF(U$36=0,0.1,U31/U$36)</f>
        <v>0.00693949774918749</v>
      </c>
      <c r="V10" s="39" t="n">
        <f aca="false">IF(V$36=0,0.1,V31/V$36)</f>
        <v>0.00772059438559349</v>
      </c>
      <c r="W10" s="39" t="n">
        <f aca="false">IF(W$36=0,0.1,W31/W$36)</f>
        <v>0.00699</v>
      </c>
      <c r="X10" s="39" t="n">
        <f aca="false">IF(X$36=0,0.1,X31/X$36)</f>
        <v>0.0045</v>
      </c>
      <c r="Y10" s="39" t="n">
        <f aca="false">IF(Y$36=0,0.1,Y31/Y$36)</f>
        <v>0.00996</v>
      </c>
      <c r="Z10" s="39" t="n">
        <f aca="false">IF(Z$36=0,0.1,Z31/Z$36)</f>
        <v>0.00989</v>
      </c>
      <c r="AA10" s="39" t="n">
        <f aca="false">IF(AA$36=0,0.1,AA31/AA$36)</f>
        <v>0.1</v>
      </c>
      <c r="AB10" s="39" t="n">
        <f aca="false">IF(AB$36=0,0.1,AB31/AB$36)</f>
        <v>0.00803</v>
      </c>
      <c r="AC10" s="39" t="n">
        <f aca="false">IF(AC$36=0,0.1,AC31/AC$36)</f>
        <v>0.00774000000000001</v>
      </c>
      <c r="AD10" s="39" t="n">
        <f aca="false">IF(AD$36=0,0.1,AD31/AD$36)</f>
        <v>0.00671</v>
      </c>
      <c r="AE10" s="39" t="n">
        <f aca="false">IF(AE$36=0,0.1,AE31/AE$36)</f>
        <v>0.01292</v>
      </c>
      <c r="AF10" s="39" t="n">
        <f aca="false">IF(AF$36=0,0.1,AF31/AF$36)</f>
        <v>0.00759</v>
      </c>
      <c r="AG10" s="39" t="n">
        <f aca="false">IF(AG$36=0,0.1,AG31/AG$36)</f>
        <v>0.00733</v>
      </c>
      <c r="AH10" s="39" t="n">
        <f aca="false">IF(AH$36=0,0.1,AH31/AH$36)</f>
        <v>0.00685</v>
      </c>
      <c r="AI10" s="39" t="n">
        <f aca="false">IF(AI$36=0,0.1,AI31/AI$36)</f>
        <v>0.00841</v>
      </c>
      <c r="AJ10" s="39" t="n">
        <f aca="false">IF(AJ$36=0,0.1,AJ31/AJ$36)</f>
        <v>0.00841</v>
      </c>
      <c r="AK10" s="39" t="n">
        <f aca="false">IF(AK$36=0,0.1,AK31/AK$36)</f>
        <v>0.00759</v>
      </c>
      <c r="AL10" s="39" t="n">
        <f aca="false">IF(AL$36=0,0.1,AL31/AL$36)</f>
        <v>0.00807</v>
      </c>
      <c r="AM10" s="39" t="n">
        <f aca="false">IF(AM$36=0,0.1,AM31/AM$36)</f>
        <v>0.00643</v>
      </c>
      <c r="AN10" s="39" t="n">
        <f aca="false">IF(AN$36=0,0.1,AN31/AN$36)</f>
        <v>0.00559</v>
      </c>
      <c r="AO10" s="39" t="n">
        <f aca="false">IF(AO$36=0,0.1,AO31/AO$36)</f>
        <v>0.00432</v>
      </c>
      <c r="AP10" s="39" t="n">
        <f aca="false">IF(AP$36=0,0.1,AP31/AP$36)</f>
        <v>0.00432</v>
      </c>
      <c r="AQ10" s="39" t="n">
        <f aca="false">IF(AQ$36=0,0.1,AQ31/AQ$36)</f>
        <v>0.00497</v>
      </c>
      <c r="AR10" s="39" t="n">
        <f aca="false">IF(AR$36=0,0.1,AR31/AR$36)</f>
        <v>0.0051</v>
      </c>
      <c r="AS10" s="39" t="n">
        <f aca="false">IF(AS$36=0,0.1,AS31/AS$36)</f>
        <v>0.005</v>
      </c>
      <c r="AT10" s="39" t="n">
        <f aca="false">IF(AT$36=0,0.1,AT31/AT$36)</f>
        <v>0.0053</v>
      </c>
      <c r="AU10" s="39" t="n">
        <f aca="false">IF(AU$36=0,0.1,AU31/AU$36)</f>
        <v>0.00606</v>
      </c>
      <c r="AV10" s="39" t="n">
        <f aca="false">IF(AV$36=0,0.1,AV31/AV$36)</f>
        <v>0.00986</v>
      </c>
      <c r="AW10" s="39" t="n">
        <f aca="false">IF(AW$36=0,0.1,AW31/AW$36)</f>
        <v>0</v>
      </c>
      <c r="AX10" s="39" t="n">
        <f aca="false">IF(AX$36=0,0.1,AX31/AX$36)</f>
        <v>0.00675</v>
      </c>
      <c r="AY10" s="39" t="n">
        <f aca="false">IF(AY$36=0,0.1,AY31/AY$36)</f>
        <v>0.00965</v>
      </c>
      <c r="AZ10" s="39" t="n">
        <f aca="false">IF(AZ$36=0,0.1,AZ31/AZ$36)</f>
        <v>0.01124</v>
      </c>
      <c r="BA10" s="39" t="n">
        <f aca="false">IF(BA$36=0,0.1,BA31/BA$36)</f>
        <v>0.0109</v>
      </c>
      <c r="BB10" s="39" t="n">
        <f aca="false">IF(BB$36=0,0.1,BB31/BB$36)</f>
        <v>0.00956</v>
      </c>
      <c r="BC10" s="39" t="n">
        <f aca="false">IF(BC$36=0,0.1,BC31/BC$36)</f>
        <v>0.01033</v>
      </c>
      <c r="BD10" s="39" t="n">
        <f aca="false">IF(BD$36=0,0.1,BD31/BD$36)</f>
        <v>0.00761</v>
      </c>
      <c r="BE10" s="39" t="n">
        <f aca="false">IF(BE$36=0,0.1,BE31/BE$36)</f>
        <v>0.1</v>
      </c>
      <c r="BF10" s="39" t="n">
        <f aca="false">IF(BF$36=0,0.1,BF31/BF$36)</f>
        <v>0.00854</v>
      </c>
      <c r="BG10" s="39" t="n">
        <f aca="false">IF(BG$36=0,0.1,BG31/BG$36)</f>
        <v>0.00784</v>
      </c>
      <c r="BH10" s="39" t="n">
        <f aca="false">IF(BH$36=0,0.1,BH31/BH$36)</f>
        <v>0.01013</v>
      </c>
      <c r="BI10" s="40" t="n">
        <f aca="false">IF(BI$36=0,0.1,BI31/BI$36)</f>
        <v>0.1</v>
      </c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</row>
    <row r="11" customFormat="false" ht="15" hidden="false" customHeight="false" outlineLevel="0" collapsed="false">
      <c r="A11" s="37" t="s">
        <v>30</v>
      </c>
      <c r="B11" s="38" t="n">
        <f aca="false">IF(B$36=0,0.1,B32/B$36)</f>
        <v>0.01089</v>
      </c>
      <c r="C11" s="39" t="n">
        <f aca="false">IF(C$36=0,0.1,C32/C$36)</f>
        <v>0.00942988113030099</v>
      </c>
      <c r="D11" s="39" t="n">
        <f aca="false">IF(D$36=0,0.1,D32/D$36)</f>
        <v>0.01341</v>
      </c>
      <c r="E11" s="39" t="n">
        <f aca="false">IF(E$36=0,0.1,E32/E$36)</f>
        <v>0.01</v>
      </c>
      <c r="F11" s="39" t="n">
        <f aca="false">IF(F$36=0,0.1,F32/F$36)</f>
        <v>0.01436</v>
      </c>
      <c r="G11" s="39" t="n">
        <f aca="false">IF(G$36=0,0.1,G32/G$36)</f>
        <v>0.01343</v>
      </c>
      <c r="H11" s="39" t="n">
        <f aca="false">IF(H$36=0,0.1,H32/H$36)</f>
        <v>0.01517</v>
      </c>
      <c r="I11" s="39" t="n">
        <f aca="false">IF(I$36=0,0.1,I32/I$36)</f>
        <v>0.01331</v>
      </c>
      <c r="J11" s="39" t="n">
        <f aca="false">IF(J$36=0,0.1,J32/J$36)</f>
        <v>0.01318</v>
      </c>
      <c r="K11" s="39" t="n">
        <f aca="false">IF(K$36=0,0.1,K32/K$36)</f>
        <v>0.01866</v>
      </c>
      <c r="L11" s="39" t="n">
        <f aca="false">IF(L$36=0,0.1,L32/L$36)</f>
        <v>0.0179458360032844</v>
      </c>
      <c r="M11" s="39" t="n">
        <f aca="false">IF(M$36=0,0.1,M32/M$36)</f>
        <v>0.0179456171111004</v>
      </c>
      <c r="N11" s="39" t="n">
        <f aca="false">IF(N$36=0,0.1,N32/N$36)</f>
        <v>0.0147066420150075</v>
      </c>
      <c r="O11" s="39" t="n">
        <f aca="false">IF(O$36=0,0.1,O32/O$36)</f>
        <v>0.0146754236595458</v>
      </c>
      <c r="P11" s="39" t="n">
        <f aca="false">IF(P$36=0,0.1,P32/P$36)</f>
        <v>0.015140556139133</v>
      </c>
      <c r="Q11" s="39" t="n">
        <f aca="false">IF(Q$36=0,0.1,Q32/Q$36)</f>
        <v>0.0167200004805327</v>
      </c>
      <c r="R11" s="39" t="n">
        <f aca="false">IF(R$36=0,0.1,R32/R$36)</f>
        <v>0.01321</v>
      </c>
      <c r="S11" s="39" t="n">
        <f aca="false">IF(S$36=0,0.1,S32/S$36)</f>
        <v>0.01321</v>
      </c>
      <c r="T11" s="39" t="n">
        <f aca="false">IF(T$36=0,0.1,T32/T$36)</f>
        <v>0.0138931661851656</v>
      </c>
      <c r="U11" s="39" t="n">
        <f aca="false">IF(U$36=0,0.1,U32/U$36)</f>
        <v>0.0138578391421346</v>
      </c>
      <c r="V11" s="39" t="n">
        <f aca="false">IF(V$36=0,0.1,V32/V$36)</f>
        <v>0.0170336532769439</v>
      </c>
      <c r="W11" s="39" t="n">
        <f aca="false">IF(W$36=0,0.1,W32/W$36)</f>
        <v>0.01528</v>
      </c>
      <c r="X11" s="39" t="n">
        <f aca="false">IF(X$36=0,0.1,X32/X$36)</f>
        <v>0.01099</v>
      </c>
      <c r="Y11" s="39" t="n">
        <f aca="false">IF(Y$36=0,0.1,Y32/Y$36)</f>
        <v>0.03193</v>
      </c>
      <c r="Z11" s="39" t="n">
        <f aca="false">IF(Z$36=0,0.1,Z32/Z$36)</f>
        <v>0.03134</v>
      </c>
      <c r="AA11" s="39" t="n">
        <f aca="false">IF(AA$36=0,0.1,AA32/AA$36)</f>
        <v>0.1</v>
      </c>
      <c r="AB11" s="39" t="n">
        <f aca="false">IF(AB$36=0,0.1,AB32/AB$36)</f>
        <v>0.01744</v>
      </c>
      <c r="AC11" s="39" t="n">
        <f aca="false">IF(AC$36=0,0.1,AC32/AC$36)</f>
        <v>0.01717</v>
      </c>
      <c r="AD11" s="39" t="n">
        <f aca="false">IF(AD$36=0,0.1,AD32/AD$36)</f>
        <v>0.01498</v>
      </c>
      <c r="AE11" s="39" t="n">
        <f aca="false">IF(AE$36=0,0.1,AE32/AE$36)</f>
        <v>0.0295</v>
      </c>
      <c r="AF11" s="39" t="n">
        <f aca="false">IF(AF$36=0,0.1,AF32/AF$36)</f>
        <v>0.01644</v>
      </c>
      <c r="AG11" s="39" t="n">
        <f aca="false">IF(AG$36=0,0.1,AG32/AG$36)</f>
        <v>0.015</v>
      </c>
      <c r="AH11" s="39" t="n">
        <f aca="false">IF(AH$36=0,0.1,AH32/AH$36)</f>
        <v>0.01487</v>
      </c>
      <c r="AI11" s="39" t="n">
        <f aca="false">IF(AI$36=0,0.1,AI32/AI$36)</f>
        <v>0.01873</v>
      </c>
      <c r="AJ11" s="39" t="n">
        <f aca="false">IF(AJ$36=0,0.1,AJ32/AJ$36)</f>
        <v>0.01873</v>
      </c>
      <c r="AK11" s="39" t="n">
        <f aca="false">IF(AK$36=0,0.1,AK32/AK$36)</f>
        <v>0.01676</v>
      </c>
      <c r="AL11" s="39" t="n">
        <f aca="false">IF(AL$36=0,0.1,AL32/AL$36)</f>
        <v>0.01755</v>
      </c>
      <c r="AM11" s="39" t="n">
        <f aca="false">IF(AM$36=0,0.1,AM32/AM$36)</f>
        <v>0.01174</v>
      </c>
      <c r="AN11" s="39" t="n">
        <f aca="false">IF(AN$36=0,0.1,AN32/AN$36)</f>
        <v>0.01238</v>
      </c>
      <c r="AO11" s="39" t="n">
        <f aca="false">IF(AO$36=0,0.1,AO32/AO$36)</f>
        <v>0.01094</v>
      </c>
      <c r="AP11" s="39" t="n">
        <f aca="false">IF(AP$36=0,0.1,AP32/AP$36)</f>
        <v>0.01094</v>
      </c>
      <c r="AQ11" s="39" t="n">
        <f aca="false">IF(AQ$36=0,0.1,AQ32/AQ$36)</f>
        <v>0.01429</v>
      </c>
      <c r="AR11" s="39" t="n">
        <f aca="false">IF(AR$36=0,0.1,AR32/AR$36)</f>
        <v>0.01289</v>
      </c>
      <c r="AS11" s="39" t="n">
        <f aca="false">IF(AS$36=0,0.1,AS32/AS$36)</f>
        <v>0.01279</v>
      </c>
      <c r="AT11" s="39" t="n">
        <f aca="false">IF(AT$36=0,0.1,AT32/AT$36)</f>
        <v>0.01449</v>
      </c>
      <c r="AU11" s="39" t="n">
        <f aca="false">IF(AU$36=0,0.1,AU32/AU$36)</f>
        <v>0.01747</v>
      </c>
      <c r="AV11" s="39" t="n">
        <f aca="false">IF(AV$36=0,0.1,AV32/AV$36)</f>
        <v>0.02889</v>
      </c>
      <c r="AW11" s="39" t="n">
        <f aca="false">IF(AW$36=0,0.1,AW32/AW$36)</f>
        <v>0</v>
      </c>
      <c r="AX11" s="39" t="n">
        <f aca="false">IF(AX$36=0,0.1,AX32/AX$36)</f>
        <v>0.01477</v>
      </c>
      <c r="AY11" s="39" t="n">
        <f aca="false">IF(AY$36=0,0.1,AY32/AY$36)</f>
        <v>0.03087</v>
      </c>
      <c r="AZ11" s="39" t="n">
        <f aca="false">IF(AZ$36=0,0.1,AZ32/AZ$36)</f>
        <v>0.03668</v>
      </c>
      <c r="BA11" s="39" t="n">
        <f aca="false">IF(BA$36=0,0.1,BA32/BA$36)</f>
        <v>0.03269</v>
      </c>
      <c r="BB11" s="39" t="n">
        <f aca="false">IF(BB$36=0,0.1,BB32/BB$36)</f>
        <v>0.02885</v>
      </c>
      <c r="BC11" s="39" t="n">
        <f aca="false">IF(BC$36=0,0.1,BC32/BC$36)</f>
        <v>0.03276</v>
      </c>
      <c r="BD11" s="39" t="n">
        <f aca="false">IF(BD$36=0,0.1,BD32/BD$36)</f>
        <v>0.0232</v>
      </c>
      <c r="BE11" s="39" t="n">
        <f aca="false">IF(BE$36=0,0.1,BE32/BE$36)</f>
        <v>0.1</v>
      </c>
      <c r="BF11" s="39" t="n">
        <f aca="false">IF(BF$36=0,0.1,BF32/BF$36)</f>
        <v>0.02076</v>
      </c>
      <c r="BG11" s="39" t="n">
        <f aca="false">IF(BG$36=0,0.1,BG32/BG$36)</f>
        <v>0.02504</v>
      </c>
      <c r="BH11" s="39" t="n">
        <f aca="false">IF(BH$36=0,0.1,BH32/BH$36)</f>
        <v>0.02475</v>
      </c>
      <c r="BI11" s="40" t="n">
        <f aca="false">IF(BI$36=0,0.1,BI32/BI$36)</f>
        <v>0.1</v>
      </c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</row>
    <row r="12" customFormat="false" ht="15" hidden="false" customHeight="false" outlineLevel="0" collapsed="false">
      <c r="A12" s="37" t="s">
        <v>31</v>
      </c>
      <c r="B12" s="38" t="n">
        <f aca="false">IF(B$36=0,0.1,B33/B$36)</f>
        <v>0.00289</v>
      </c>
      <c r="C12" s="39" t="n">
        <f aca="false">IF(C$36=0,0.1,C33/C$36)</f>
        <v>0.00219411603521426</v>
      </c>
      <c r="D12" s="39" t="n">
        <f aca="false">IF(D$36=0,0.1,D33/D$36)</f>
        <v>0.00376</v>
      </c>
      <c r="E12" s="39" t="n">
        <f aca="false">IF(E$36=0,0.1,E33/E$36)</f>
        <v>0.00176</v>
      </c>
      <c r="F12" s="39" t="n">
        <f aca="false">IF(F$36=0,0.1,F33/F$36)</f>
        <v>0.00363</v>
      </c>
      <c r="G12" s="39" t="n">
        <f aca="false">IF(G$36=0,0.1,G33/G$36)</f>
        <v>0.00308</v>
      </c>
      <c r="H12" s="39" t="n">
        <f aca="false">IF(H$36=0,0.1,H33/H$36)</f>
        <v>0.00431</v>
      </c>
      <c r="I12" s="39" t="n">
        <f aca="false">IF(I$36=0,0.1,I33/I$36)</f>
        <v>0.00336</v>
      </c>
      <c r="J12" s="39" t="n">
        <f aca="false">IF(J$36=0,0.1,J33/J$36)</f>
        <v>0.00372</v>
      </c>
      <c r="K12" s="39" t="n">
        <f aca="false">IF(K$36=0,0.1,K33/K$36)</f>
        <v>0.00455</v>
      </c>
      <c r="L12" s="39" t="n">
        <f aca="false">IF(L$36=0,0.1,L33/L$36)</f>
        <v>0.00597222180992357</v>
      </c>
      <c r="M12" s="39" t="n">
        <f aca="false">IF(M$36=0,0.1,M33/M$36)</f>
        <v>0.0059726534896514</v>
      </c>
      <c r="N12" s="39" t="n">
        <f aca="false">IF(N$36=0,0.1,N33/N$36)</f>
        <v>0.00371587869498504</v>
      </c>
      <c r="O12" s="39" t="n">
        <f aca="false">IF(O$36=0,0.1,O33/O$36)</f>
        <v>0.00370649129960609</v>
      </c>
      <c r="P12" s="39" t="n">
        <f aca="false">IF(P$36=0,0.1,P33/P$36)</f>
        <v>0.00383944925308455</v>
      </c>
      <c r="Q12" s="39" t="n">
        <f aca="false">IF(Q$36=0,0.1,Q33/Q$36)</f>
        <v>0.00427799999076427</v>
      </c>
      <c r="R12" s="39" t="n">
        <f aca="false">IF(R$36=0,0.1,R33/R$36)</f>
        <v>0.00321</v>
      </c>
      <c r="S12" s="39" t="n">
        <f aca="false">IF(S$36=0,0.1,S33/S$36)</f>
        <v>0.00321</v>
      </c>
      <c r="T12" s="39" t="n">
        <f aca="false">IF(T$36=0,0.1,T33/T$36)</f>
        <v>0.00361497122290038</v>
      </c>
      <c r="U12" s="39" t="n">
        <f aca="false">IF(U$36=0,0.1,U33/U$36)</f>
        <v>0.00360322510881781</v>
      </c>
      <c r="V12" s="39" t="n">
        <f aca="false">IF(V$36=0,0.1,V33/V$36)</f>
        <v>0.00424818913156623</v>
      </c>
      <c r="W12" s="39" t="n">
        <f aca="false">IF(W$36=0,0.1,W33/W$36)</f>
        <v>0.00509</v>
      </c>
      <c r="X12" s="39" t="n">
        <f aca="false">IF(X$36=0,0.1,X33/X$36)</f>
        <v>0.00289</v>
      </c>
      <c r="Y12" s="39" t="n">
        <f aca="false">IF(Y$36=0,0.1,Y33/Y$36)</f>
        <v>0.00671</v>
      </c>
      <c r="Z12" s="39" t="n">
        <f aca="false">IF(Z$36=0,0.1,Z33/Z$36)</f>
        <v>0.00728</v>
      </c>
      <c r="AA12" s="39" t="n">
        <f aca="false">IF(AA$36=0,0.1,AA33/AA$36)</f>
        <v>0.1</v>
      </c>
      <c r="AB12" s="39" t="n">
        <f aca="false">IF(AB$36=0,0.1,AB33/AB$36)</f>
        <v>0.00532</v>
      </c>
      <c r="AC12" s="39" t="n">
        <f aca="false">IF(AC$36=0,0.1,AC33/AC$36)</f>
        <v>0.00462</v>
      </c>
      <c r="AD12" s="39" t="n">
        <f aca="false">IF(AD$36=0,0.1,AD33/AD$36)</f>
        <v>0.00369</v>
      </c>
      <c r="AE12" s="39" t="n">
        <f aca="false">IF(AE$36=0,0.1,AE33/AE$36)</f>
        <v>0.00595</v>
      </c>
      <c r="AF12" s="39" t="n">
        <f aca="false">IF(AF$36=0,0.1,AF33/AF$36)</f>
        <v>0.00446</v>
      </c>
      <c r="AG12" s="39" t="n">
        <f aca="false">IF(AG$36=0,0.1,AG33/AG$36)</f>
        <v>0.00364</v>
      </c>
      <c r="AH12" s="39" t="n">
        <f aca="false">IF(AH$36=0,0.1,AH33/AH$36)</f>
        <v>0.00381</v>
      </c>
      <c r="AI12" s="39" t="n">
        <f aca="false">IF(AI$36=0,0.1,AI33/AI$36)</f>
        <v>0.00515</v>
      </c>
      <c r="AJ12" s="39" t="n">
        <f aca="false">IF(AJ$36=0,0.1,AJ33/AJ$36)</f>
        <v>0.00515</v>
      </c>
      <c r="AK12" s="39" t="n">
        <f aca="false">IF(AK$36=0,0.1,AK33/AK$36)</f>
        <v>0.00371</v>
      </c>
      <c r="AL12" s="39" t="n">
        <f aca="false">IF(AL$36=0,0.1,AL33/AL$36)</f>
        <v>0.00475</v>
      </c>
      <c r="AM12" s="39" t="n">
        <f aca="false">IF(AM$36=0,0.1,AM33/AM$36)</f>
        <v>0.0034</v>
      </c>
      <c r="AN12" s="39" t="n">
        <f aca="false">IF(AN$36=0,0.1,AN33/AN$36)</f>
        <v>0.00338</v>
      </c>
      <c r="AO12" s="39" t="n">
        <f aca="false">IF(AO$36=0,0.1,AO33/AO$36)</f>
        <v>0.00289</v>
      </c>
      <c r="AP12" s="39" t="n">
        <f aca="false">IF(AP$36=0,0.1,AP33/AP$36)</f>
        <v>0.00289</v>
      </c>
      <c r="AQ12" s="39" t="n">
        <f aca="false">IF(AQ$36=0,0.1,AQ33/AQ$36)</f>
        <v>0.00306</v>
      </c>
      <c r="AR12" s="39" t="n">
        <f aca="false">IF(AR$36=0,0.1,AR33/AR$36)</f>
        <v>0.00342</v>
      </c>
      <c r="AS12" s="39" t="n">
        <f aca="false">IF(AS$36=0,0.1,AS33/AS$36)</f>
        <v>0.00353</v>
      </c>
      <c r="AT12" s="39" t="n">
        <f aca="false">IF(AT$36=0,0.1,AT33/AT$36)</f>
        <v>0.00406</v>
      </c>
      <c r="AU12" s="39" t="n">
        <f aca="false">IF(AU$36=0,0.1,AU33/AU$36)</f>
        <v>0.0053</v>
      </c>
      <c r="AV12" s="39" t="n">
        <f aca="false">IF(AV$36=0,0.1,AV33/AV$36)</f>
        <v>0.00538</v>
      </c>
      <c r="AW12" s="39" t="n">
        <f aca="false">IF(AW$36=0,0.1,AW33/AW$36)</f>
        <v>0</v>
      </c>
      <c r="AX12" s="39" t="n">
        <f aca="false">IF(AX$36=0,0.1,AX33/AX$36)</f>
        <v>0.00355</v>
      </c>
      <c r="AY12" s="39" t="n">
        <f aca="false">IF(AY$36=0,0.1,AY33/AY$36)</f>
        <v>0.00627</v>
      </c>
      <c r="AZ12" s="39" t="n">
        <f aca="false">IF(AZ$36=0,0.1,AZ33/AZ$36)</f>
        <v>0.00902</v>
      </c>
      <c r="BA12" s="39" t="n">
        <f aca="false">IF(BA$36=0,0.1,BA33/BA$36)</f>
        <v>0.00677</v>
      </c>
      <c r="BB12" s="39" t="n">
        <f aca="false">IF(BB$36=0,0.1,BB33/BB$36)</f>
        <v>0.00548</v>
      </c>
      <c r="BC12" s="39" t="n">
        <f aca="false">IF(BC$36=0,0.1,BC33/BC$36)</f>
        <v>0.00778</v>
      </c>
      <c r="BD12" s="39" t="n">
        <f aca="false">IF(BD$36=0,0.1,BD33/BD$36)</f>
        <v>0.00588</v>
      </c>
      <c r="BE12" s="39" t="n">
        <f aca="false">IF(BE$36=0,0.1,BE33/BE$36)</f>
        <v>0.1</v>
      </c>
      <c r="BF12" s="39" t="n">
        <f aca="false">IF(BF$36=0,0.1,BF33/BF$36)</f>
        <v>0.00475</v>
      </c>
      <c r="BG12" s="39" t="n">
        <f aca="false">IF(BG$36=0,0.1,BG33/BG$36)</f>
        <v>0.00516</v>
      </c>
      <c r="BH12" s="39" t="n">
        <f aca="false">IF(BH$36=0,0.1,BH33/BH$36)</f>
        <v>0.00601</v>
      </c>
      <c r="BI12" s="40" t="n">
        <f aca="false">IF(BI$36=0,0.1,BI33/BI$36)</f>
        <v>0.1</v>
      </c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</row>
    <row r="13" customFormat="false" ht="15" hidden="false" customHeight="false" outlineLevel="0" collapsed="false">
      <c r="A13" s="37" t="s">
        <v>32</v>
      </c>
      <c r="B13" s="38" t="n">
        <f aca="false">IF(B$36=0,0.1,B34/B$36)</f>
        <v>0.00314</v>
      </c>
      <c r="C13" s="39" t="n">
        <f aca="false">IF(C$36=0,0.1,C34/C$36)</f>
        <v>0.00219110489701406</v>
      </c>
      <c r="D13" s="39" t="n">
        <f aca="false">IF(D$36=0,0.1,D34/D$36)</f>
        <v>0.00415</v>
      </c>
      <c r="E13" s="39" t="n">
        <f aca="false">IF(E$36=0,0.1,E34/E$36)</f>
        <v>0.0017</v>
      </c>
      <c r="F13" s="39" t="n">
        <f aca="false">IF(F$36=0,0.1,F34/F$36)</f>
        <v>0.00448</v>
      </c>
      <c r="G13" s="39" t="n">
        <f aca="false">IF(G$36=0,0.1,G34/G$36)</f>
        <v>0.00352</v>
      </c>
      <c r="H13" s="39" t="n">
        <f aca="false">IF(H$36=0,0.1,H34/H$36)</f>
        <v>0.00493</v>
      </c>
      <c r="I13" s="39" t="n">
        <f aca="false">IF(I$36=0,0.1,I34/I$36)</f>
        <v>0.00371</v>
      </c>
      <c r="J13" s="39" t="n">
        <f aca="false">IF(J$36=0,0.1,J34/J$36)</f>
        <v>0.00396</v>
      </c>
      <c r="K13" s="39" t="n">
        <f aca="false">IF(K$36=0,0.1,K34/K$36)</f>
        <v>0.00504</v>
      </c>
      <c r="L13" s="39" t="n">
        <f aca="false">IF(L$36=0,0.1,L34/L$36)</f>
        <v>0.00454581891352099</v>
      </c>
      <c r="M13" s="39" t="n">
        <f aca="false">IF(M$36=0,0.1,M34/M$36)</f>
        <v>0.00454600329044863</v>
      </c>
      <c r="N13" s="39" t="n">
        <f aca="false">IF(N$36=0,0.1,N34/N$36)</f>
        <v>0.00434618428931218</v>
      </c>
      <c r="O13" s="39" t="n">
        <f aca="false">IF(O$36=0,0.1,O34/O$36)</f>
        <v>0.00433409776511415</v>
      </c>
      <c r="P13" s="39" t="n">
        <f aca="false">IF(P$36=0,0.1,P34/P$36)</f>
        <v>0.00451328172352155</v>
      </c>
      <c r="Q13" s="39" t="n">
        <f aca="false">IF(Q$36=0,0.1,Q34/Q$36)</f>
        <v>0.0105280005774975</v>
      </c>
      <c r="R13" s="39" t="n">
        <f aca="false">IF(R$36=0,0.1,R34/R$36)</f>
        <v>0.00359</v>
      </c>
      <c r="S13" s="39" t="n">
        <f aca="false">IF(S$36=0,0.1,S34/S$36)</f>
        <v>0.00359</v>
      </c>
      <c r="T13" s="39" t="n">
        <f aca="false">IF(T$36=0,0.1,T34/T$36)</f>
        <v>0.00414292166118303</v>
      </c>
      <c r="U13" s="39" t="n">
        <f aca="false">IF(U$36=0,0.1,U34/U$36)</f>
        <v>0.00413619444946946</v>
      </c>
      <c r="V13" s="39" t="n">
        <f aca="false">IF(V$36=0,0.1,V34/V$36)</f>
        <v>0.00502816397791022</v>
      </c>
      <c r="W13" s="39" t="n">
        <f aca="false">IF(W$36=0,0.1,W34/W$36)</f>
        <v>0.00405</v>
      </c>
      <c r="X13" s="39" t="n">
        <f aca="false">IF(X$36=0,0.1,X34/X$36)</f>
        <v>0.00349</v>
      </c>
      <c r="Y13" s="39" t="n">
        <f aca="false">IF(Y$36=0,0.1,Y34/Y$36)</f>
        <v>0.00803</v>
      </c>
      <c r="Z13" s="39" t="n">
        <f aca="false">IF(Z$36=0,0.1,Z34/Z$36)</f>
        <v>0.009</v>
      </c>
      <c r="AA13" s="39" t="n">
        <f aca="false">IF(AA$36=0,0.1,AA34/AA$36)</f>
        <v>0.1</v>
      </c>
      <c r="AB13" s="39" t="n">
        <f aca="false">IF(AB$36=0,0.1,AB34/AB$36)</f>
        <v>0.00449</v>
      </c>
      <c r="AC13" s="39" t="n">
        <f aca="false">IF(AC$36=0,0.1,AC34/AC$36)</f>
        <v>0.00514</v>
      </c>
      <c r="AD13" s="39" t="n">
        <f aca="false">IF(AD$36=0,0.1,AD34/AD$36)</f>
        <v>0.00406</v>
      </c>
      <c r="AE13" s="39" t="n">
        <f aca="false">IF(AE$36=0,0.1,AE34/AE$36)</f>
        <v>0.00511</v>
      </c>
      <c r="AF13" s="39" t="n">
        <f aca="false">IF(AF$36=0,0.1,AF34/AF$36)</f>
        <v>0.00499</v>
      </c>
      <c r="AG13" s="39" t="n">
        <f aca="false">IF(AG$36=0,0.1,AG34/AG$36)</f>
        <v>0.00367</v>
      </c>
      <c r="AH13" s="39" t="n">
        <f aca="false">IF(AH$36=0,0.1,AH34/AH$36)</f>
        <v>0.00416</v>
      </c>
      <c r="AI13" s="39" t="n">
        <f aca="false">IF(AI$36=0,0.1,AI34/AI$36)</f>
        <v>0.0059</v>
      </c>
      <c r="AJ13" s="39" t="n">
        <f aca="false">IF(AJ$36=0,0.1,AJ34/AJ$36)</f>
        <v>0.0059</v>
      </c>
      <c r="AK13" s="39" t="n">
        <f aca="false">IF(AK$36=0,0.1,AK34/AK$36)</f>
        <v>0.00399</v>
      </c>
      <c r="AL13" s="39" t="n">
        <f aca="false">IF(AL$36=0,0.1,AL34/AL$36)</f>
        <v>0.00539</v>
      </c>
      <c r="AM13" s="39" t="n">
        <f aca="false">IF(AM$36=0,0.1,AM34/AM$36)</f>
        <v>0.00357</v>
      </c>
      <c r="AN13" s="39" t="n">
        <f aca="false">IF(AN$36=0,0.1,AN34/AN$36)</f>
        <v>0.00403</v>
      </c>
      <c r="AO13" s="39" t="n">
        <f aca="false">IF(AO$36=0,0.1,AO34/AO$36)</f>
        <v>0.00353</v>
      </c>
      <c r="AP13" s="39" t="n">
        <f aca="false">IF(AP$36=0,0.1,AP34/AP$36)</f>
        <v>0.00353</v>
      </c>
      <c r="AQ13" s="39" t="n">
        <f aca="false">IF(AQ$36=0,0.1,AQ34/AQ$36)</f>
        <v>0.00393</v>
      </c>
      <c r="AR13" s="39" t="n">
        <f aca="false">IF(AR$36=0,0.1,AR34/AR$36)</f>
        <v>0.00414</v>
      </c>
      <c r="AS13" s="39" t="n">
        <f aca="false">IF(AS$36=0,0.1,AS34/AS$36)</f>
        <v>0.00431</v>
      </c>
      <c r="AT13" s="39" t="n">
        <f aca="false">IF(AT$36=0,0.1,AT34/AT$36)</f>
        <v>0.00511</v>
      </c>
      <c r="AU13" s="39" t="n">
        <f aca="false">IF(AU$36=0,0.1,AU34/AU$36)</f>
        <v>0.00577</v>
      </c>
      <c r="AV13" s="39" t="n">
        <f aca="false">IF(AV$36=0,0.1,AV34/AV$36)</f>
        <v>0.00574</v>
      </c>
      <c r="AW13" s="39" t="n">
        <f aca="false">IF(AW$36=0,0.1,AW34/AW$36)</f>
        <v>0</v>
      </c>
      <c r="AX13" s="39" t="n">
        <f aca="false">IF(AX$36=0,0.1,AX34/AX$36)</f>
        <v>0.00375</v>
      </c>
      <c r="AY13" s="39" t="n">
        <f aca="false">IF(AY$36=0,0.1,AY34/AY$36)</f>
        <v>0.00732</v>
      </c>
      <c r="AZ13" s="39" t="n">
        <f aca="false">IF(AZ$36=0,0.1,AZ34/AZ$36)</f>
        <v>0.0116</v>
      </c>
      <c r="BA13" s="39" t="n">
        <f aca="false">IF(BA$36=0,0.1,BA34/BA$36)</f>
        <v>0.00726</v>
      </c>
      <c r="BB13" s="39" t="n">
        <f aca="false">IF(BB$36=0,0.1,BB34/BB$36)</f>
        <v>0.00611</v>
      </c>
      <c r="BC13" s="39" t="n">
        <f aca="false">IF(BC$36=0,0.1,BC34/BC$36)</f>
        <v>0.00912</v>
      </c>
      <c r="BD13" s="39" t="n">
        <f aca="false">IF(BD$36=0,0.1,BD34/BD$36)</f>
        <v>0.00705</v>
      </c>
      <c r="BE13" s="39" t="n">
        <f aca="false">IF(BE$36=0,0.1,BE34/BE$36)</f>
        <v>0.1</v>
      </c>
      <c r="BF13" s="39" t="n">
        <f aca="false">IF(BF$36=0,0.1,BF34/BF$36)</f>
        <v>0.0054</v>
      </c>
      <c r="BG13" s="39" t="n">
        <f aca="false">IF(BG$36=0,0.1,BG34/BG$36)</f>
        <v>0.00772</v>
      </c>
      <c r="BH13" s="39" t="n">
        <f aca="false">IF(BH$36=0,0.1,BH34/BH$36)</f>
        <v>0.00736</v>
      </c>
      <c r="BI13" s="40" t="n">
        <f aca="false">IF(BI$36=0,0.1,BI34/BI$36)</f>
        <v>0.1</v>
      </c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</row>
    <row r="14" customFormat="false" ht="15" hidden="false" customHeight="false" outlineLevel="0" collapsed="false">
      <c r="A14" s="41" t="s">
        <v>33</v>
      </c>
      <c r="B14" s="42" t="n">
        <f aca="false">IF(B$36=0,0.1,B35/B$36)</f>
        <v>0.01394</v>
      </c>
      <c r="C14" s="43" t="n">
        <f aca="false">IF(C$36=0,0.1,C35/C$36)</f>
        <v>0.00493124065919838</v>
      </c>
      <c r="D14" s="43" t="n">
        <f aca="false">IF(D$36=0,0.1,D35/D$36)</f>
        <v>0.00836</v>
      </c>
      <c r="E14" s="43" t="n">
        <f aca="false">IF(E$36=0,0.1,E35/E$36)</f>
        <v>0.00132</v>
      </c>
      <c r="F14" s="43" t="n">
        <f aca="false">IF(F$36=0,0.1,F35/F$36)</f>
        <v>0.00882</v>
      </c>
      <c r="G14" s="43" t="n">
        <f aca="false">IF(G$36=0,0.1,G35/G$36)</f>
        <v>0.00605</v>
      </c>
      <c r="H14" s="43" t="n">
        <f aca="false">IF(H$36=0,0.1,H35/H$36)</f>
        <v>0.01044</v>
      </c>
      <c r="I14" s="43" t="n">
        <f aca="false">IF(I$36=0,0.1,I35/I$36)</f>
        <v>0.00573</v>
      </c>
      <c r="J14" s="43" t="n">
        <f aca="false">IF(J$36=0,0.1,J35/J$36)</f>
        <v>0.00834</v>
      </c>
      <c r="K14" s="43" t="n">
        <f aca="false">IF(K$36=0,0.1,K35/K$36)</f>
        <v>0.00973</v>
      </c>
      <c r="L14" s="43" t="n">
        <f aca="false">IF(L$36=0,0.1,L35/L$36)</f>
        <v>0.00637607646682903</v>
      </c>
      <c r="M14" s="43" t="n">
        <f aca="false">IF(M$36=0,0.1,M35/M$36)</f>
        <v>0.00637677696725122</v>
      </c>
      <c r="N14" s="43" t="n">
        <f aca="false">IF(N$36=0,0.1,N35/N$36)</f>
        <v>0.00617121662503194</v>
      </c>
      <c r="O14" s="43" t="n">
        <f aca="false">IF(O$36=0,0.1,O35/O$36)</f>
        <v>0.00613919311818444</v>
      </c>
      <c r="P14" s="43" t="n">
        <f aca="false">IF(P$36=0,0.1,P35/P$36)</f>
        <v>0.0061644259669184</v>
      </c>
      <c r="Q14" s="43" t="n">
        <f aca="false">IF(Q$36=0,0.1,Q35/Q$36)</f>
        <v>0.00655700026965588</v>
      </c>
      <c r="R14" s="43" t="n">
        <f aca="false">IF(R$36=0,0.1,R35/R$36)</f>
        <v>0.00431</v>
      </c>
      <c r="S14" s="43" t="n">
        <f aca="false">IF(S$36=0,0.1,S35/S$36)</f>
        <v>0.00431</v>
      </c>
      <c r="T14" s="43" t="n">
        <f aca="false">IF(T$36=0,0.1,T35/T$36)</f>
        <v>0.00501478798721726</v>
      </c>
      <c r="U14" s="43" t="n">
        <f aca="false">IF(U$36=0,0.1,U35/U$36)</f>
        <v>0.00490016856117617</v>
      </c>
      <c r="V14" s="43" t="n">
        <f aca="false">IF(V$36=0,0.1,V35/V$36)</f>
        <v>0.00566691364893962</v>
      </c>
      <c r="W14" s="43" t="n">
        <f aca="false">IF(W$36=0,0.1,W35/W$36)</f>
        <v>0.00522</v>
      </c>
      <c r="X14" s="43" t="n">
        <f aca="false">IF(X$36=0,0.1,X35/X$36)</f>
        <v>0.00644999999999999</v>
      </c>
      <c r="Y14" s="43" t="n">
        <f aca="false">IF(Y$36=0,0.1,Y35/Y$36)</f>
        <v>0.01107</v>
      </c>
      <c r="Z14" s="43" t="n">
        <f aca="false">IF(Z$36=0,0.1,Z35/Z$36)</f>
        <v>0.01351</v>
      </c>
      <c r="AA14" s="43" t="n">
        <f aca="false">IF(AA$36=0,0.1,AA35/AA$36)</f>
        <v>0.1</v>
      </c>
      <c r="AB14" s="43" t="n">
        <f aca="false">IF(AB$36=0,0.1,AB35/AB$36)</f>
        <v>0.00375</v>
      </c>
      <c r="AC14" s="43" t="n">
        <f aca="false">IF(AC$36=0,0.1,AC35/AC$36)</f>
        <v>0.00969999999999999</v>
      </c>
      <c r="AD14" s="43" t="n">
        <f aca="false">IF(AD$36=0,0.1,AD35/AD$36)</f>
        <v>0.0063</v>
      </c>
      <c r="AE14" s="43" t="n">
        <f aca="false">IF(AE$36=0,0.1,AE35/AE$36)</f>
        <v>0.00674</v>
      </c>
      <c r="AF14" s="43" t="n">
        <f aca="false">IF(AF$36=0,0.1,AF35/AF$36)</f>
        <v>0.01027</v>
      </c>
      <c r="AG14" s="43" t="n">
        <f aca="false">IF(AG$36=0,0.1,AG35/AG$36)</f>
        <v>0.00374</v>
      </c>
      <c r="AH14" s="43" t="n">
        <f aca="false">IF(AH$36=0,0.1,AH35/AH$36)</f>
        <v>0.00763</v>
      </c>
      <c r="AI14" s="43" t="n">
        <f aca="false">IF(AI$36=0,0.1,AI35/AI$36)</f>
        <v>0.01328</v>
      </c>
      <c r="AJ14" s="43" t="n">
        <f aca="false">IF(AJ$36=0,0.1,AJ35/AJ$36)</f>
        <v>0.01328</v>
      </c>
      <c r="AK14" s="43" t="n">
        <f aca="false">IF(AK$36=0,0.1,AK35/AK$36)</f>
        <v>0.00641</v>
      </c>
      <c r="AL14" s="43" t="n">
        <f aca="false">IF(AL$36=0,0.1,AL35/AL$36)</f>
        <v>0.00726</v>
      </c>
      <c r="AM14" s="43" t="n">
        <f aca="false">IF(AM$36=0,0.1,AM35/AM$36)</f>
        <v>0.00757</v>
      </c>
      <c r="AN14" s="43" t="n">
        <f aca="false">IF(AN$36=0,0.1,AN35/AN$36)</f>
        <v>0.01389</v>
      </c>
      <c r="AO14" s="43" t="n">
        <f aca="false">IF(AO$36=0,0.1,AO35/AO$36)</f>
        <v>0.00589</v>
      </c>
      <c r="AP14" s="43" t="n">
        <f aca="false">IF(AP$36=0,0.1,AP35/AP$36)</f>
        <v>0.00589</v>
      </c>
      <c r="AQ14" s="43" t="n">
        <f aca="false">IF(AQ$36=0,0.1,AQ35/AQ$36)</f>
        <v>0.00462</v>
      </c>
      <c r="AR14" s="43" t="n">
        <f aca="false">IF(AR$36=0,0.1,AR35/AR$36)</f>
        <v>0.00938</v>
      </c>
      <c r="AS14" s="43" t="n">
        <f aca="false">IF(AS$36=0,0.1,AS35/AS$36)</f>
        <v>0.01158</v>
      </c>
      <c r="AT14" s="43" t="n">
        <f aca="false">IF(AT$36=0,0.1,AT35/AT$36)</f>
        <v>0.00636</v>
      </c>
      <c r="AU14" s="43" t="n">
        <f aca="false">IF(AU$36=0,0.1,AU35/AU$36)</f>
        <v>0.01131</v>
      </c>
      <c r="AV14" s="43" t="n">
        <f aca="false">IF(AV$36=0,0.1,AV35/AV$36)</f>
        <v>0.00401</v>
      </c>
      <c r="AW14" s="43" t="n">
        <f aca="false">IF(AW$36=0,0.1,AW35/AW$36)</f>
        <v>0</v>
      </c>
      <c r="AX14" s="43" t="n">
        <f aca="false">IF(AX$36=0,0.1,AX35/AX$36)</f>
        <v>0.00551</v>
      </c>
      <c r="AY14" s="43" t="n">
        <f aca="false">IF(AY$36=0,0.1,AY35/AY$36)</f>
        <v>0.01265</v>
      </c>
      <c r="AZ14" s="43" t="n">
        <f aca="false">IF(AZ$36=0,0.1,AZ35/AZ$36)</f>
        <v>0.02704</v>
      </c>
      <c r="BA14" s="43" t="n">
        <f aca="false">IF(BA$36=0,0.1,BA35/BA$36)</f>
        <v>0.00716</v>
      </c>
      <c r="BB14" s="43" t="n">
        <f aca="false">IF(BB$36=0,0.1,BB35/BB$36)</f>
        <v>0.00775</v>
      </c>
      <c r="BC14" s="43" t="n">
        <f aca="false">IF(BC$36=0,0.1,BC35/BC$36)</f>
        <v>0.02337</v>
      </c>
      <c r="BD14" s="43" t="n">
        <f aca="false">IF(BD$36=0,0.1,BD35/BD$36)</f>
        <v>0.01746</v>
      </c>
      <c r="BE14" s="43" t="n">
        <f aca="false">IF(BE$36=0,0.1,BE35/BE$36)</f>
        <v>0.1</v>
      </c>
      <c r="BF14" s="43" t="n">
        <f aca="false">IF(BF$36=0,0.1,BF35/BF$36)</f>
        <v>0.0069</v>
      </c>
      <c r="BG14" s="43" t="n">
        <f aca="false">IF(BG$36=0,0.1,BG35/BG$36)</f>
        <v>0.01525</v>
      </c>
      <c r="BH14" s="43" t="n">
        <f aca="false">IF(BH$36=0,0.1,BH35/BH$36)</f>
        <v>0.01136</v>
      </c>
      <c r="BI14" s="44" t="n">
        <f aca="false">IF(BI$36=0,0.1,BI35/BI$36)</f>
        <v>0.1</v>
      </c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</row>
    <row r="15" customFormat="false" ht="15" hidden="false" customHeight="false" outlineLevel="0" collapsed="false">
      <c r="A15" s="45" t="s">
        <v>34</v>
      </c>
      <c r="B15" s="46" t="n">
        <f aca="false">IF(B36=0,80,B24)</f>
        <v>22.3561763237881</v>
      </c>
      <c r="C15" s="47" t="n">
        <f aca="false">IF(C36=0,80,C24)</f>
        <v>13.4219181999083</v>
      </c>
      <c r="D15" s="47" t="n">
        <f aca="false">IF(D36=0,80,D24)</f>
        <v>90.3834337204179</v>
      </c>
      <c r="E15" s="47" t="n">
        <f aca="false">IF(E36=0,80,E24)</f>
        <v>13.3571218649546</v>
      </c>
      <c r="F15" s="47" t="n">
        <f aca="false">IF(F36=0,80,F24)</f>
        <v>94.6172602500156</v>
      </c>
      <c r="G15" s="47" t="n">
        <f aca="false">IF(G36=0,80,G24)</f>
        <v>93.7953254304999</v>
      </c>
      <c r="H15" s="47" t="n">
        <f aca="false">IF(H36=0,80,H24)</f>
        <v>92.7763482205855</v>
      </c>
      <c r="I15" s="47" t="n">
        <f aca="false">IF(I36=0,80,I24)</f>
        <v>90.7908598746099</v>
      </c>
      <c r="J15" s="47" t="n">
        <f aca="false">IF(J36=0,80,J24)</f>
        <v>91.9550793211202</v>
      </c>
      <c r="K15" s="47" t="n">
        <f aca="false">IF(K36=0,80,K24)</f>
        <v>71.8741552947032</v>
      </c>
      <c r="L15" s="47" t="n">
        <f aca="false">IF(L36=0,80,L24)</f>
        <v>1152.686725567</v>
      </c>
      <c r="M15" s="47" t="n">
        <f aca="false">IF(M36=0,80,M24)</f>
        <v>1152.59191602113</v>
      </c>
      <c r="N15" s="47" t="n">
        <f aca="false">IF(N36=0,80,N24)</f>
        <v>977.042301992486</v>
      </c>
      <c r="O15" s="47" t="n">
        <f aca="false">IF(O36=0,80,O24)</f>
        <v>13.9586288300894</v>
      </c>
      <c r="P15" s="47" t="n">
        <f aca="false">IF(P36=0,80,P24)</f>
        <v>978.056360050745</v>
      </c>
      <c r="Q15" s="47" t="n">
        <f aca="false">IF(Q36=0,80,Q24)</f>
        <v>184.203363110942</v>
      </c>
      <c r="R15" s="47" t="n">
        <f aca="false">IF(R36=0,80,R24)</f>
        <v>945.909429324571</v>
      </c>
      <c r="S15" s="47" t="n">
        <f aca="false">IF(S36=0,80,S24)</f>
        <v>975.91517588566</v>
      </c>
      <c r="T15" s="47" t="n">
        <f aca="false">IF(T36=0,80,T24)</f>
        <v>965.560787038263</v>
      </c>
      <c r="U15" s="47" t="n">
        <f aca="false">IF(U36=0,80,U24)</f>
        <v>46.0765275391199</v>
      </c>
      <c r="V15" s="47" t="n">
        <f aca="false">IF(V36=0,80,V24)</f>
        <v>989.166348175679</v>
      </c>
      <c r="W15" s="47" t="n">
        <f aca="false">IF(W36=0,80,W24)</f>
        <v>1038.17373472406</v>
      </c>
      <c r="X15" s="47" t="n">
        <f aca="false">IF(X36=0,80,X24)</f>
        <v>13.6736551548845</v>
      </c>
      <c r="Y15" s="47" t="n">
        <f aca="false">IF(Y36=0,80,Y24)</f>
        <v>71.1374473111294</v>
      </c>
      <c r="Z15" s="47" t="n">
        <f aca="false">IF(Z36=0,80,Z24)</f>
        <v>77.2879731657529</v>
      </c>
      <c r="AA15" s="47" t="n">
        <f aca="false">IF(AA36=0,80,AA24)</f>
        <v>80</v>
      </c>
      <c r="AB15" s="47" t="n">
        <f aca="false">IF(AB36=0,80,AB24)</f>
        <v>92.4391822175048</v>
      </c>
      <c r="AC15" s="47" t="n">
        <f aca="false">IF(AC36=0,80,AC24)</f>
        <v>47.3303692212669</v>
      </c>
      <c r="AD15" s="47" t="n">
        <f aca="false">IF(AD36=0,80,AD24)</f>
        <v>76.9074506929402</v>
      </c>
      <c r="AE15" s="47" t="n">
        <f aca="false">IF(AE36=0,80,AE24)</f>
        <v>80.3037823893195</v>
      </c>
      <c r="AF15" s="47" t="n">
        <f aca="false">IF(AF36=0,80,AF24)</f>
        <v>79.5285223220425</v>
      </c>
      <c r="AG15" s="47" t="n">
        <f aca="false">IF(AG36=0,80,AG24)</f>
        <v>66.506085676504</v>
      </c>
      <c r="AH15" s="47" t="n">
        <f aca="false">IF(AH36=0,80,AH24)</f>
        <v>69.6057037655324</v>
      </c>
      <c r="AI15" s="47" t="n">
        <f aca="false">IF(AI36=0,80,AI24)</f>
        <v>86.9701735366163</v>
      </c>
      <c r="AJ15" s="47" t="n">
        <f aca="false">IF(AJ36=0,80,AJ24)</f>
        <v>86.6335211499817</v>
      </c>
      <c r="AK15" s="47" t="n">
        <f aca="false">IF(AK36=0,80,AK24)</f>
        <v>69.5052915715093</v>
      </c>
      <c r="AL15" s="47" t="n">
        <f aca="false">IF(AL36=0,80,AL24)</f>
        <v>81.9916443128791</v>
      </c>
      <c r="AM15" s="47" t="n">
        <f aca="false">IF(AM36=0,80,AM24)</f>
        <v>54.6667374019693</v>
      </c>
      <c r="AN15" s="47" t="n">
        <f aca="false">IF(AN36=0,80,AN24)</f>
        <v>16.6846112499955</v>
      </c>
      <c r="AO15" s="47" t="n">
        <f aca="false">IF(AO36=0,80,AO24)</f>
        <v>1072.10043367776</v>
      </c>
      <c r="AP15" s="47" t="n">
        <f aca="false">IF(AP36=0,80,AP24)</f>
        <v>1072.8447571181</v>
      </c>
      <c r="AQ15" s="47" t="n">
        <f aca="false">IF(AQ36=0,80,AQ24)</f>
        <v>973.057708345714</v>
      </c>
      <c r="AR15" s="47" t="n">
        <f aca="false">IF(AR36=0,80,AR24)</f>
        <v>51.0619260629611</v>
      </c>
      <c r="AS15" s="47" t="n">
        <f aca="false">IF(AS36=0,80,AS24)</f>
        <v>49.5570783675895</v>
      </c>
      <c r="AT15" s="47" t="n">
        <f aca="false">IF(AT36=0,80,AT24)</f>
        <v>1081.55375682149</v>
      </c>
      <c r="AU15" s="47" t="n">
        <f aca="false">IF(AU36=0,80,AU24)</f>
        <v>1010.776796584</v>
      </c>
      <c r="AV15" s="47" t="n">
        <f aca="false">IF(AV36=0,80,AV24)</f>
        <v>1078.86716495236</v>
      </c>
      <c r="AW15" s="47" t="n">
        <f aca="false">IF(AW36=0,80,AW24)</f>
        <v>13.0581845275817</v>
      </c>
      <c r="AX15" s="47" t="n">
        <f aca="false">IF(AX36=0,80,AX24)</f>
        <v>76.7475360866855</v>
      </c>
      <c r="AY15" s="47" t="n">
        <f aca="false">IF(AY36=0,80,AY24)</f>
        <v>60.0657130651393</v>
      </c>
      <c r="AZ15" s="47" t="n">
        <f aca="false">IF(AZ36=0,80,AZ24)</f>
        <v>63.8645241642939</v>
      </c>
      <c r="BA15" s="47" t="n">
        <f aca="false">IF(BA36=0,80,BA24)</f>
        <v>65.9651908970752</v>
      </c>
      <c r="BB15" s="47" t="n">
        <f aca="false">IF(BB36=0,80,BB24)</f>
        <v>66.6407443036375</v>
      </c>
      <c r="BC15" s="47" t="n">
        <f aca="false">IF(BC36=0,80,BC24)</f>
        <v>62.1874120252386</v>
      </c>
      <c r="BD15" s="47" t="n">
        <f aca="false">IF(BD36=0,80,BD24)</f>
        <v>64.1920752716389</v>
      </c>
      <c r="BE15" s="47" t="n">
        <f aca="false">IF(BE36=0,80,BE24)</f>
        <v>80</v>
      </c>
      <c r="BF15" s="47" t="n">
        <f aca="false">IF(BF36=0,80,BF24)</f>
        <v>70.555804925251</v>
      </c>
      <c r="BG15" s="47" t="n">
        <f aca="false">IF(BG36=0,80,BG24)</f>
        <v>60.6821671175185</v>
      </c>
      <c r="BH15" s="47" t="n">
        <f aca="false">IF(BH36=0,80,BH24)</f>
        <v>97.7599473820053</v>
      </c>
      <c r="BI15" s="48" t="n">
        <f aca="false">IF(BI36=0,80,BI24)</f>
        <v>80</v>
      </c>
      <c r="BJ15" s="49"/>
      <c r="BK15" s="49"/>
      <c r="BL15" s="49"/>
      <c r="BM15" s="49"/>
      <c r="BN15" s="49"/>
      <c r="BO15" s="49"/>
      <c r="BP15" s="49"/>
      <c r="BQ15" s="49"/>
      <c r="BR15" s="49"/>
      <c r="BS15" s="49"/>
      <c r="BT15" s="49"/>
      <c r="BU15" s="49"/>
      <c r="BV15" s="49"/>
      <c r="BW15" s="49"/>
      <c r="BX15" s="49"/>
      <c r="BY15" s="49"/>
      <c r="BZ15" s="49"/>
      <c r="CA15" s="49"/>
      <c r="CB15" s="49"/>
      <c r="CC15" s="49"/>
    </row>
    <row r="16" customFormat="false" ht="15" hidden="false" customHeight="false" outlineLevel="0" collapsed="false">
      <c r="A16" s="50" t="s">
        <v>35</v>
      </c>
      <c r="B16" s="51" t="n">
        <f aca="false">IF(B36=0,117.5,B25)</f>
        <v>78.942673965167</v>
      </c>
      <c r="C16" s="52" t="n">
        <f aca="false">IF(C36=0,117.5,C25)</f>
        <v>76.9571803154484</v>
      </c>
      <c r="D16" s="52" t="n">
        <f aca="false">IF(D36=0,117.5,D25)</f>
        <v>77.1167436605302</v>
      </c>
      <c r="E16" s="52" t="n">
        <f aca="false">IF(E36=0,117.5,E25)</f>
        <v>78.8065221078934</v>
      </c>
      <c r="F16" s="52" t="n">
        <f aca="false">IF(F36=0,117.5,F25)</f>
        <v>81.4497945849687</v>
      </c>
      <c r="G16" s="52" t="n">
        <f aca="false">IF(G36=0,117.5,G25)</f>
        <v>80.6438741754455</v>
      </c>
      <c r="H16" s="52" t="n">
        <f aca="false">IF(H36=0,117.5,H25)</f>
        <v>75.0075733104629</v>
      </c>
      <c r="I16" s="52" t="n">
        <f aca="false">IF(I36=0,117.5,I25)</f>
        <v>75.4517805073168</v>
      </c>
      <c r="J16" s="52" t="n">
        <f aca="false">IF(J36=0,117.5,J25)</f>
        <v>79.9335406297994</v>
      </c>
      <c r="K16" s="52" t="n">
        <f aca="false">IF(K36=0,117.5,K25)</f>
        <v>87.6852171364913</v>
      </c>
      <c r="L16" s="52" t="n">
        <f aca="false">IF(L36=0,117.5,L25)</f>
        <v>103.958267604457</v>
      </c>
      <c r="M16" s="52" t="n">
        <f aca="false">IF(M36=0,117.5,M25)</f>
        <v>103.970331203093</v>
      </c>
      <c r="N16" s="52" t="n">
        <f aca="false">IF(N36=0,117.5,N25)</f>
        <v>95.8978307126668</v>
      </c>
      <c r="O16" s="52" t="n">
        <f aca="false">IF(O36=0,117.5,O25)</f>
        <v>77.4445861539533</v>
      </c>
      <c r="P16" s="52" t="n">
        <f aca="false">IF(P36=0,117.5,P25)</f>
        <v>98.7163792291282</v>
      </c>
      <c r="Q16" s="52" t="n">
        <f aca="false">IF(Q36=0,117.5,Q25)</f>
        <v>77.8166707818226</v>
      </c>
      <c r="R16" s="52" t="n">
        <f aca="false">IF(R36=0,117.5,R25)</f>
        <v>76.9860555382185</v>
      </c>
      <c r="S16" s="52" t="n">
        <f aca="false">IF(S36=0,117.5,S25)</f>
        <v>74.9318121595437</v>
      </c>
      <c r="T16" s="52" t="n">
        <f aca="false">IF(T36=0,117.5,T25)</f>
        <v>97.7972614856566</v>
      </c>
      <c r="U16" s="52" t="n">
        <f aca="false">IF(U36=0,117.5,U25)</f>
        <v>105.669454554076</v>
      </c>
      <c r="V16" s="52" t="n">
        <f aca="false">IF(V36=0,117.5,V25)</f>
        <v>94.4882714358941</v>
      </c>
      <c r="W16" s="52" t="n">
        <f aca="false">IF(W36=0,117.5,W25)</f>
        <v>87.138526581894</v>
      </c>
      <c r="X16" s="52" t="n">
        <f aca="false">IF(X36=0,117.5,X25)</f>
        <v>79.194365978241</v>
      </c>
      <c r="Y16" s="52" t="n">
        <f aca="false">IF(Y36=0,117.5,Y25)</f>
        <v>79.980892128898</v>
      </c>
      <c r="Z16" s="52" t="n">
        <f aca="false">IF(Z36=0,117.5,Z25)</f>
        <v>90.7630518904569</v>
      </c>
      <c r="AA16" s="52" t="n">
        <f aca="false">IF(AA36=0,117.5,AA25)</f>
        <v>117.5</v>
      </c>
      <c r="AB16" s="52" t="n">
        <f aca="false">IF(AB36=0,117.5,AB25)</f>
        <v>93.1365001657748</v>
      </c>
      <c r="AC16" s="52" t="n">
        <f aca="false">IF(AC36=0,117.5,AC25)</f>
        <v>82.1364990203612</v>
      </c>
      <c r="AD16" s="52" t="n">
        <f aca="false">IF(AD36=0,117.5,AD25)</f>
        <v>87.6471195839257</v>
      </c>
      <c r="AE16" s="52" t="n">
        <f aca="false">IF(AE36=0,117.5,AE25)</f>
        <v>95.1078334775595</v>
      </c>
      <c r="AF16" s="52" t="n">
        <f aca="false">IF(AF36=0,117.5,AF25)</f>
        <v>87.8186506354005</v>
      </c>
      <c r="AG16" s="52" t="n">
        <f aca="false">IF(AG36=0,117.5,AG25)</f>
        <v>93.7986342383159</v>
      </c>
      <c r="AH16" s="52" t="n">
        <f aca="false">IF(AH36=0,117.5,AH25)</f>
        <v>74.5389554167065</v>
      </c>
      <c r="AI16" s="52" t="n">
        <f aca="false">IF(AI36=0,117.5,AI25)</f>
        <v>94.5263672644228</v>
      </c>
      <c r="AJ16" s="52" t="n">
        <f aca="false">IF(AJ36=0,117.5,AJ25)</f>
        <v>94.319810597109</v>
      </c>
      <c r="AK16" s="52" t="n">
        <f aca="false">IF(AK36=0,117.5,AK25)</f>
        <v>73.0207136120128</v>
      </c>
      <c r="AL16" s="52" t="n">
        <f aca="false">IF(AL36=0,117.5,AL25)</f>
        <v>88.0177497623365</v>
      </c>
      <c r="AM16" s="52" t="n">
        <f aca="false">IF(AM36=0,117.5,AM25)</f>
        <v>83.7578652637491</v>
      </c>
      <c r="AN16" s="52" t="n">
        <f aca="false">IF(AN36=0,117.5,AN25)</f>
        <v>75.0433518040565</v>
      </c>
      <c r="AO16" s="52" t="n">
        <f aca="false">IF(AO36=0,117.5,AO25)</f>
        <v>80.4026728855666</v>
      </c>
      <c r="AP16" s="52" t="n">
        <f aca="false">IF(AP36=0,117.5,AP25)</f>
        <v>87.6964028917184</v>
      </c>
      <c r="AQ16" s="52" t="n">
        <f aca="false">IF(AQ36=0,117.5,AQ25)</f>
        <v>91.995710297439</v>
      </c>
      <c r="AR16" s="52" t="n">
        <f aca="false">IF(AR36=0,117.5,AR25)</f>
        <v>82.8667216876883</v>
      </c>
      <c r="AS16" s="52" t="n">
        <f aca="false">IF(AS36=0,117.5,AS25)</f>
        <v>85.566671841253</v>
      </c>
      <c r="AT16" s="52" t="n">
        <f aca="false">IF(AT36=0,117.5,AT25)</f>
        <v>103.890276618182</v>
      </c>
      <c r="AU16" s="52" t="n">
        <f aca="false">IF(AU36=0,117.5,AU25)</f>
        <v>85.8545616006886</v>
      </c>
      <c r="AV16" s="52" t="n">
        <f aca="false">IF(AV36=0,117.5,AV25)</f>
        <v>102.10348821627</v>
      </c>
      <c r="AW16" s="52" t="n">
        <f aca="false">IF(AW36=0,117.5,AW25)</f>
        <v>79.8914801741159</v>
      </c>
      <c r="AX16" s="52" t="n">
        <f aca="false">IF(AX36=0,117.5,AX25)</f>
        <v>81.8026421480001</v>
      </c>
      <c r="AY16" s="52" t="n">
        <f aca="false">IF(AY36=0,117.5,AY25)</f>
        <v>86.4286313256076</v>
      </c>
      <c r="AZ16" s="52" t="n">
        <f aca="false">IF(AZ36=0,117.5,AZ25)</f>
        <v>90.353664943909</v>
      </c>
      <c r="BA16" s="52" t="n">
        <f aca="false">IF(BA36=0,117.5,BA25)</f>
        <v>102.01060011026</v>
      </c>
      <c r="BB16" s="52" t="n">
        <f aca="false">IF(BB36=0,117.5,BB25)</f>
        <v>80.2689928116755</v>
      </c>
      <c r="BC16" s="52" t="n">
        <f aca="false">IF(BC36=0,117.5,BC25)</f>
        <v>86.1468728699175</v>
      </c>
      <c r="BD16" s="52" t="n">
        <f aca="false">IF(BD36=0,117.5,BD25)</f>
        <v>99.6528658427098</v>
      </c>
      <c r="BE16" s="52" t="n">
        <f aca="false">IF(BE36=0,117.5,BE25)</f>
        <v>117.5</v>
      </c>
      <c r="BF16" s="52" t="n">
        <f aca="false">IF(BF36=0,117.5,BF25)</f>
        <v>84.839565504966</v>
      </c>
      <c r="BG16" s="52" t="n">
        <f aca="false">IF(BG36=0,117.5,BG25)</f>
        <v>87.1977908454652</v>
      </c>
      <c r="BH16" s="52" t="n">
        <f aca="false">IF(BH36=0,117.5,BH25)</f>
        <v>115.991547780407</v>
      </c>
      <c r="BI16" s="53" t="n">
        <f aca="false">IF(BI36=0,117.5,BI25)</f>
        <v>117.5</v>
      </c>
      <c r="BJ16" s="49"/>
      <c r="BK16" s="49"/>
      <c r="BL16" s="49"/>
      <c r="BM16" s="49"/>
      <c r="BN16" s="49"/>
      <c r="BO16" s="49"/>
      <c r="BP16" s="49"/>
      <c r="BQ16" s="49"/>
      <c r="BR16" s="49"/>
      <c r="BS16" s="49"/>
      <c r="BT16" s="49"/>
      <c r="BU16" s="49"/>
      <c r="BV16" s="49"/>
      <c r="BW16" s="49"/>
      <c r="BX16" s="49"/>
      <c r="BY16" s="49"/>
      <c r="BZ16" s="49"/>
      <c r="CA16" s="49"/>
      <c r="CB16" s="49"/>
      <c r="CC16" s="49"/>
    </row>
    <row r="17" customFormat="false" ht="15" hidden="false" customHeight="false" outlineLevel="0" collapsed="false">
      <c r="B17" s="54" t="n">
        <f aca="false">VLOOKUP(B4,Hypo,7,0)</f>
        <v>15</v>
      </c>
      <c r="C17" s="54" t="n">
        <f aca="false">VLOOKUP(C4,Hypo,7,0)</f>
        <v>1</v>
      </c>
      <c r="D17" s="54" t="n">
        <f aca="false">VLOOKUP(D4,Hypo,7,0)</f>
        <v>12</v>
      </c>
      <c r="E17" s="54" t="n">
        <f aca="false">VLOOKUP(E4,Hypo,7,0)</f>
        <v>1</v>
      </c>
      <c r="F17" s="54" t="n">
        <f aca="false">VLOOKUP(F4,Hypo,7,0)</f>
        <v>12</v>
      </c>
      <c r="G17" s="54" t="n">
        <f aca="false">VLOOKUP(G4,Hypo,7,0)</f>
        <v>15</v>
      </c>
      <c r="H17" s="54" t="n">
        <f aca="false">VLOOKUP(H4,Hypo,7,0)</f>
        <v>7</v>
      </c>
      <c r="I17" s="54" t="n">
        <f aca="false">VLOOKUP(I4,Hypo,7,0)</f>
        <v>15</v>
      </c>
      <c r="J17" s="54" t="n">
        <f aca="false">VLOOKUP(J4,Hypo,7,0)</f>
        <v>13</v>
      </c>
      <c r="K17" s="54" t="n">
        <f aca="false">VLOOKUP(K4,Hypo,7,0)</f>
        <v>10</v>
      </c>
      <c r="L17" s="54" t="n">
        <f aca="false">VLOOKUP(L4,Hypo,7,0)</f>
        <v>7</v>
      </c>
      <c r="M17" s="54" t="n">
        <f aca="false">VLOOKUP(M4,Hypo,7,0)</f>
        <v>7</v>
      </c>
      <c r="N17" s="54" t="n">
        <f aca="false">VLOOKUP(N4,Hypo,7,0)</f>
        <v>5</v>
      </c>
      <c r="O17" s="54" t="n">
        <f aca="false">VLOOKUP(O4,Hypo,7,0)</f>
        <v>1</v>
      </c>
      <c r="P17" s="54" t="n">
        <f aca="false">VLOOKUP(P4,Hypo,7,0)</f>
        <v>6</v>
      </c>
      <c r="Q17" s="54" t="n">
        <f aca="false">VLOOKUP(Q4,Hypo,7,0)</f>
        <v>6</v>
      </c>
      <c r="R17" s="54" t="n">
        <f aca="false">VLOOKUP(R4,Hypo,7,0)</f>
        <v>3</v>
      </c>
      <c r="S17" s="54" t="n">
        <f aca="false">VLOOKUP(S4,Hypo,7,0)</f>
        <v>2</v>
      </c>
      <c r="T17" s="54" t="n">
        <f aca="false">VLOOKUP(T4,Hypo,7,0)</f>
        <v>9</v>
      </c>
      <c r="U17" s="54" t="n">
        <f aca="false">VLOOKUP(U4,Hypo,7,0)</f>
        <v>15</v>
      </c>
      <c r="V17" s="54" t="n">
        <f aca="false">VLOOKUP(V4,Hypo,7,0)</f>
        <v>4</v>
      </c>
      <c r="W17" s="54" t="n">
        <f aca="false">VLOOKUP(W4,Hypo,7,0)</f>
        <v>4</v>
      </c>
      <c r="X17" s="54" t="n">
        <f aca="false">VLOOKUP(X4,Hypo,7,0)</f>
        <v>1</v>
      </c>
      <c r="Y17" s="54" t="n">
        <f aca="false">VLOOKUP(Y4,Hypo,7,0)</f>
        <v>8</v>
      </c>
      <c r="Z17" s="54" t="n">
        <f aca="false">VLOOKUP(Z4,Hypo,7,0)</f>
        <v>6</v>
      </c>
      <c r="AA17" s="4" t="e">
        <f aca="false">VLOOKUP(AA4,Hypo,7,0)</f>
        <v>#N/A</v>
      </c>
      <c r="AB17" s="54" t="n">
        <f aca="false">VLOOKUP(AB4,Hypo,7,0)</f>
        <v>12</v>
      </c>
      <c r="AC17" s="54" t="n">
        <f aca="false">VLOOKUP(AC4,Hypo,7,0)</f>
        <v>15</v>
      </c>
      <c r="AD17" s="54" t="n">
        <f aca="false">VLOOKUP(AD4,Hypo,7,0)</f>
        <v>15</v>
      </c>
      <c r="AE17" s="54" t="n">
        <f aca="false">VLOOKUP(AE4,Hypo,7,0)</f>
        <v>14</v>
      </c>
      <c r="AF17" s="54" t="n">
        <f aca="false">VLOOKUP(AF4,Hypo,7,0)</f>
        <v>14</v>
      </c>
      <c r="AG17" s="54" t="n">
        <f aca="false">VLOOKUP(AG4,Hypo,7,0)</f>
        <v>15</v>
      </c>
      <c r="AH17" s="54" t="n">
        <f aca="false">VLOOKUP(AH4,Hypo,7,0)</f>
        <v>15</v>
      </c>
      <c r="AI17" s="54" t="n">
        <f aca="false">VLOOKUP(AI4,Hypo,7,0)</f>
        <v>12</v>
      </c>
      <c r="AJ17" s="54" t="n">
        <f aca="false">VLOOKUP(AJ4,Hypo,7,0)</f>
        <v>12</v>
      </c>
      <c r="AK17" s="54" t="n">
        <f aca="false">VLOOKUP(AK4,Hypo,7,0)</f>
        <v>15</v>
      </c>
      <c r="AL17" s="54" t="n">
        <f aca="false">VLOOKUP(AL4,Hypo,7,0)</f>
        <v>15</v>
      </c>
      <c r="AM17" s="54" t="n">
        <f aca="false">VLOOKUP(AM4,Hypo,7,0)</f>
        <v>15</v>
      </c>
      <c r="AN17" s="54" t="n">
        <f aca="false">VLOOKUP(AN4,Hypo,7,0)</f>
        <v>15</v>
      </c>
      <c r="AO17" s="54" t="n">
        <f aca="false">VLOOKUP(AO4,Hypo,7,0)</f>
        <v>4</v>
      </c>
      <c r="AP17" s="54" t="n">
        <f aca="false">VLOOKUP(AP4,Hypo,7,0)</f>
        <v>6</v>
      </c>
      <c r="AQ17" s="54" t="n">
        <f aca="false">VLOOKUP(AQ4,Hypo,7,0)</f>
        <v>9</v>
      </c>
      <c r="AR17" s="54" t="n">
        <f aca="false">VLOOKUP(AR4,Hypo,7,0)</f>
        <v>15</v>
      </c>
      <c r="AS17" s="54" t="n">
        <f aca="false">VLOOKUP(AS4,Hypo,7,0)</f>
        <v>15</v>
      </c>
      <c r="AT17" s="54" t="n">
        <f aca="false">VLOOKUP(AT4,Hypo,7,0)</f>
        <v>9</v>
      </c>
      <c r="AU17" s="54" t="n">
        <f aca="false">VLOOKUP(AU4,Hypo,7,0)</f>
        <v>1</v>
      </c>
      <c r="AV17" s="54" t="n">
        <f aca="false">VLOOKUP(AV4,Hypo,7,0)</f>
        <v>6</v>
      </c>
      <c r="AW17" s="54" t="n">
        <f aca="false">VLOOKUP(AW4,Hypo,7,0)</f>
        <v>1</v>
      </c>
      <c r="AX17" s="54" t="n">
        <f aca="false">VLOOKUP(AX4,Hypo,7,0)</f>
        <v>15</v>
      </c>
      <c r="AY17" s="54" t="n">
        <f aca="false">VLOOKUP(AY4,Hypo,7,0)</f>
        <v>14</v>
      </c>
      <c r="AZ17" s="54" t="n">
        <f aca="false">VLOOKUP(AZ4,Hypo,7,0)</f>
        <v>6</v>
      </c>
      <c r="BA17" s="54" t="n">
        <f aca="false">VLOOKUP(BA4,Hypo,7,0)</f>
        <v>15</v>
      </c>
      <c r="BB17" s="54" t="n">
        <f aca="false">VLOOKUP(BB4,Hypo,7,0)</f>
        <v>15</v>
      </c>
      <c r="BC17" s="54" t="n">
        <f aca="false">VLOOKUP(BC4,Hypo,7,0)</f>
        <v>7</v>
      </c>
      <c r="BD17" s="54" t="n">
        <f aca="false">VLOOKUP(BD4,Hypo,7,0)</f>
        <v>14</v>
      </c>
      <c r="BE17" s="4" t="e">
        <f aca="false">VLOOKUP(BE4,Hypo,7,0)</f>
        <v>#N/A</v>
      </c>
      <c r="BF17" s="54" t="n">
        <f aca="false">VLOOKUP(BF4,Hypo,7,0)</f>
        <v>15</v>
      </c>
      <c r="BG17" s="54" t="n">
        <f aca="false">VLOOKUP(BG4,Hypo,7,0)</f>
        <v>12</v>
      </c>
      <c r="BH17" s="54" t="n">
        <f aca="false">VLOOKUP(BH4,Hypo,7,0)</f>
        <v>15</v>
      </c>
      <c r="BI17" s="4" t="e">
        <f aca="false">VLOOKUP(BI4,Hypo,7,0)</f>
        <v>#N/A</v>
      </c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49"/>
      <c r="BY17" s="49"/>
      <c r="BZ17" s="49"/>
      <c r="CA17" s="49"/>
      <c r="CB17" s="49"/>
      <c r="CC17" s="49"/>
    </row>
    <row r="18" customFormat="false" ht="15" hidden="false" customHeight="false" outlineLevel="0" collapsed="false">
      <c r="BJ18" s="49"/>
      <c r="BK18" s="49"/>
      <c r="BL18" s="49"/>
      <c r="BM18" s="49"/>
      <c r="BN18" s="49"/>
      <c r="BO18" s="49"/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49"/>
      <c r="CC18" s="49"/>
    </row>
    <row r="19" customFormat="false" ht="15" hidden="false" customHeight="false" outlineLevel="0" collapsed="false">
      <c r="A19" s="4" t="s">
        <v>36</v>
      </c>
      <c r="B19" s="55"/>
    </row>
    <row r="20" customFormat="false" ht="15" hidden="false" customHeight="false" outlineLevel="0" collapsed="false">
      <c r="A20" s="28"/>
      <c r="B20" s="56" t="s">
        <v>37</v>
      </c>
      <c r="C20" s="57" t="s">
        <v>38</v>
      </c>
      <c r="D20" s="57" t="s">
        <v>39</v>
      </c>
      <c r="E20" s="57" t="s">
        <v>40</v>
      </c>
      <c r="F20" s="57" t="s">
        <v>41</v>
      </c>
      <c r="G20" s="57" t="s">
        <v>42</v>
      </c>
      <c r="H20" s="57" t="s">
        <v>43</v>
      </c>
      <c r="I20" s="57" t="s">
        <v>44</v>
      </c>
      <c r="J20" s="57" t="s">
        <v>45</v>
      </c>
      <c r="K20" s="57" t="s">
        <v>46</v>
      </c>
      <c r="L20" s="57" t="s">
        <v>47</v>
      </c>
      <c r="M20" s="57" t="s">
        <v>48</v>
      </c>
      <c r="N20" s="57" t="s">
        <v>49</v>
      </c>
      <c r="O20" s="57" t="s">
        <v>50</v>
      </c>
      <c r="P20" s="57" t="s">
        <v>51</v>
      </c>
      <c r="Q20" s="57" t="s">
        <v>52</v>
      </c>
      <c r="R20" s="57" t="s">
        <v>53</v>
      </c>
      <c r="S20" s="57" t="s">
        <v>54</v>
      </c>
      <c r="T20" s="57" t="s">
        <v>55</v>
      </c>
      <c r="U20" s="57" t="s">
        <v>56</v>
      </c>
      <c r="V20" s="57" t="s">
        <v>57</v>
      </c>
      <c r="W20" s="57" t="s">
        <v>58</v>
      </c>
      <c r="X20" s="57" t="s">
        <v>59</v>
      </c>
      <c r="Y20" s="57" t="s">
        <v>60</v>
      </c>
      <c r="Z20" s="57" t="s">
        <v>61</v>
      </c>
      <c r="AA20" s="57" t="s">
        <v>62</v>
      </c>
      <c r="AB20" s="57" t="s">
        <v>9</v>
      </c>
      <c r="AC20" s="57" t="s">
        <v>63</v>
      </c>
      <c r="AD20" s="57" t="s">
        <v>64</v>
      </c>
      <c r="AE20" s="57" t="s">
        <v>65</v>
      </c>
      <c r="AF20" s="57" t="s">
        <v>66</v>
      </c>
      <c r="AG20" s="57" t="s">
        <v>67</v>
      </c>
      <c r="AH20" s="57" t="s">
        <v>11</v>
      </c>
      <c r="AI20" s="57" t="s">
        <v>12</v>
      </c>
      <c r="AJ20" s="57" t="s">
        <v>13</v>
      </c>
      <c r="AK20" s="57" t="s">
        <v>68</v>
      </c>
      <c r="AL20" s="57" t="s">
        <v>69</v>
      </c>
      <c r="AM20" s="57" t="s">
        <v>70</v>
      </c>
      <c r="AN20" s="57" t="s">
        <v>71</v>
      </c>
      <c r="AO20" s="57" t="s">
        <v>72</v>
      </c>
      <c r="AP20" s="57" t="s">
        <v>73</v>
      </c>
      <c r="AQ20" s="57" t="s">
        <v>74</v>
      </c>
      <c r="AR20" s="57" t="s">
        <v>75</v>
      </c>
      <c r="AS20" s="57" t="s">
        <v>76</v>
      </c>
      <c r="AT20" s="57" t="s">
        <v>77</v>
      </c>
      <c r="AU20" s="58" t="s">
        <v>78</v>
      </c>
      <c r="AV20" s="58" t="s">
        <v>79</v>
      </c>
      <c r="AW20" s="58" t="s">
        <v>80</v>
      </c>
      <c r="AX20" s="58" t="s">
        <v>14</v>
      </c>
      <c r="AY20" s="58" t="s">
        <v>81</v>
      </c>
      <c r="AZ20" s="58" t="s">
        <v>15</v>
      </c>
      <c r="BA20" s="58" t="s">
        <v>82</v>
      </c>
      <c r="BB20" s="58" t="s">
        <v>83</v>
      </c>
      <c r="BC20" s="58" t="s">
        <v>84</v>
      </c>
      <c r="BD20" s="58" t="s">
        <v>85</v>
      </c>
      <c r="BE20" s="58" t="s">
        <v>86</v>
      </c>
      <c r="BF20" s="58" t="s">
        <v>87</v>
      </c>
      <c r="BG20" s="58" t="s">
        <v>22</v>
      </c>
      <c r="BH20" s="58" t="s">
        <v>23</v>
      </c>
      <c r="BI20" s="59"/>
    </row>
    <row r="21" customFormat="false" ht="15.75" hidden="false" customHeight="true" outlineLevel="0" collapsed="false">
      <c r="A21" s="60" t="n">
        <v>2</v>
      </c>
      <c r="B21" s="61" t="str">
        <f aca="false">IF(ISERROR(VLOOKUP(B$20,RawData,$A21,0)),0,VLOOKUP(B$20,RawData,$A21,0))</f>
        <v>Gateway 22-2H</v>
      </c>
      <c r="C21" s="62" t="str">
        <f aca="false">IF(ISERROR(VLOOKUP(C$20,RawData,$A21,0)),0,VLOOKUP(C$20,RawData,$A21,0))</f>
        <v>Gateway 38-2H</v>
      </c>
      <c r="D21" s="62" t="str">
        <f aca="false">IF(ISERROR(VLOOKUP(D$20,RawData,$A21,0)),0,VLOOKUP(D$20,RawData,$A21,0))</f>
        <v>Allman 24-68</v>
      </c>
      <c r="E21" s="62" t="str">
        <f aca="false">IF(ISERROR(VLOOKUP(E$20,RawData,$A21,0)),0,VLOOKUP(E$20,RawData,$A21,0))</f>
        <v>Johnny Cash 23-2H</v>
      </c>
      <c r="F21" s="62" t="str">
        <f aca="false">IF(ISERROR(VLOOKUP(F$20,RawData,$A21,0)),0,VLOOKUP(F$20,RawData,$A21,0))</f>
        <v>Muddy Waters 30-2H</v>
      </c>
      <c r="G21" s="62" t="str">
        <f aca="false">IF(ISERROR(VLOOKUP(G$20,RawData,$A21,0)),0,VLOOKUP(G$20,RawData,$A21,0))</f>
        <v>BB King 32-2H</v>
      </c>
      <c r="H21" s="62" t="str">
        <f aca="false">IF(ISERROR(VLOOKUP(H$20,RawData,$A21,0)),0,VLOOKUP(H$20,RawData,$A21,0))</f>
        <v>Santana 29-2H</v>
      </c>
      <c r="I21" s="62" t="str">
        <f aca="false">IF(ISERROR(VLOOKUP(I$20,RawData,$A21,0)),0,VLOOKUP(I$20,RawData,$A21,0))</f>
        <v>Orbison 28-6H</v>
      </c>
      <c r="J21" s="62" t="str">
        <f aca="false">IF(ISERROR(VLOOKUP(J$20,RawData,$A21,0)),0,VLOOKUP(J$20,RawData,$A21,0))</f>
        <v>Johnny Cash 2</v>
      </c>
      <c r="K21" s="62" t="str">
        <f aca="false">IF(ISERROR(VLOOKUP(K$20,RawData,$A21,0)),0,VLOOKUP(K$20,RawData,$A21,0))</f>
        <v>Cypress 33 A Sales</v>
      </c>
      <c r="L21" s="62" t="str">
        <f aca="false">IF(ISERROR(VLOOKUP(L$20,RawData,$A21,0)),0,VLOOKUP(L$20,RawData,$A21,0))</f>
        <v>Pinon CDP #1</v>
      </c>
      <c r="M21" s="62" t="str">
        <f aca="false">IF(ISERROR(VLOOKUP(M$20,RawData,$A21,0)),0,VLOOKUP(M$20,RawData,$A21,0))</f>
        <v>Pinon CDP #2</v>
      </c>
      <c r="N21" s="62" t="str">
        <f aca="false">IF(ISERROR(VLOOKUP(N$20,RawData,$A21,0)),0,VLOOKUP(N$20,RawData,$A21,0))</f>
        <v>Cosmo CDP MTR #1</v>
      </c>
      <c r="O21" s="62" t="str">
        <f aca="false">IF(ISERROR(VLOOKUP(O$20,RawData,$A21,0)),0,VLOOKUP(O$20,RawData,$A21,0))</f>
        <v>Cosmo CDP MTR #2</v>
      </c>
      <c r="P21" s="62" t="str">
        <f aca="false">IF(ISERROR(VLOOKUP(P$20,RawData,$A21,0)),0,VLOOKUP(P$20,RawData,$A21,0))</f>
        <v>Four Points CDP MTR #1</v>
      </c>
      <c r="Q21" s="62" t="str">
        <f aca="false">IF(ISERROR(VLOOKUP(Q$20,RawData,$A21,0)),0,VLOOKUP(Q$20,RawData,$A21,0))</f>
        <v>Four Points CDP MTR #2</v>
      </c>
      <c r="R21" s="62" t="str">
        <f aca="false">IF(ISERROR(VLOOKUP(R$20,RawData,$A21,0)),0,VLOOKUP(R$20,RawData,$A21,0))</f>
        <v>Wise West CDP MTR # 1</v>
      </c>
      <c r="S21" s="62" t="str">
        <f aca="false">IF(ISERROR(VLOOKUP(S$20,RawData,$A21,0)),0,VLOOKUP(S$20,RawData,$A21,0))</f>
        <v>Wise West CDP MTR # 2</v>
      </c>
      <c r="T21" s="62" t="str">
        <f aca="false">IF(ISERROR(VLOOKUP(T$20,RawData,$A21,0)),0,VLOOKUP(T$20,RawData,$A21,0))</f>
        <v>Penner CDP MTR #1</v>
      </c>
      <c r="U21" s="62" t="str">
        <f aca="false">IF(ISERROR(VLOOKUP(U$20,RawData,$A21,0)),0,VLOOKUP(U$20,RawData,$A21,0))</f>
        <v>Penner CDP MTR #2</v>
      </c>
      <c r="V21" s="62" t="str">
        <f aca="false">IF(ISERROR(VLOOKUP(V$20,RawData,$A21,0)),0,VLOOKUP(V$20,RawData,$A21,0))</f>
        <v>Pronghorn CDP</v>
      </c>
      <c r="W21" s="62" t="str">
        <f aca="false">IF(ISERROR(VLOOKUP(W$20,RawData,$A21,0)),0,VLOOKUP(W$20,RawData,$A21,0))</f>
        <v>Monument Draw CDP MTR #1</v>
      </c>
      <c r="X21" s="62" t="str">
        <f aca="false">IF(ISERROR(VLOOKUP(X$20,RawData,$A21,0)),0,VLOOKUP(X$20,RawData,$A21,0))</f>
        <v>West Quito CDP #2</v>
      </c>
      <c r="Y21" s="62" t="str">
        <f aca="false">IF(ISERROR(VLOOKUP(Y$20,RawData,$A21,0)),0,VLOOKUP(Y$20,RawData,$A21,0))</f>
        <v>University CDP MTR #1</v>
      </c>
      <c r="Z21" s="62" t="str">
        <f aca="false">IF(ISERROR(VLOOKUP(Z$20,RawData,$A21,0)),0,VLOOKUP(Z$20,RawData,$A21,0))</f>
        <v>US Energy 4320 CDP</v>
      </c>
      <c r="AA21" s="62" t="n">
        <f aca="false">IF(ISERROR(VLOOKUP(AA$20,RawData,$A21,0)),0,VLOOKUP(AA$20,RawData,$A21,0))</f>
        <v>0</v>
      </c>
      <c r="AB21" s="62" t="str">
        <f aca="false">IF(ISERROR(VLOOKUP(AB$20,RawData,$A21,0)),0,VLOOKUP(AB$20,RawData,$A21,0))</f>
        <v>Nailed It B CDP</v>
      </c>
      <c r="AC21" s="62" t="str">
        <f aca="false">IF(ISERROR(VLOOKUP(AC$20,RawData,$A21,0)),0,VLOOKUP(AC$20,RawData,$A21,0))</f>
        <v>Cypress 33 B CDP MTR #1</v>
      </c>
      <c r="AD21" s="62" t="str">
        <f aca="false">IF(ISERROR(VLOOKUP(AD$20,RawData,$A21,0)),0,VLOOKUP(AD$20,RawData,$A21,0))</f>
        <v>Cypress 33 B CDP MTR #2</v>
      </c>
      <c r="AE21" s="62" t="str">
        <f aca="false">IF(ISERROR(VLOOKUP(AE$20,RawData,$A21,0)),0,VLOOKUP(AE$20,RawData,$A21,0))</f>
        <v>Money Graham B CDP</v>
      </c>
      <c r="AF21" s="62" t="str">
        <f aca="false">IF(ISERROR(VLOOKUP(AF$20,RawData,$A21,0)),0,VLOOKUP(AF$20,RawData,$A21,0))</f>
        <v>Money Graham A CDP MTR #2</v>
      </c>
      <c r="AG21" s="62" t="str">
        <f aca="false">IF(ISERROR(VLOOKUP(AG$20,RawData,$A21,0)),0,VLOOKUP(AG$20,RawData,$A21,0))</f>
        <v>Pliny The Elder CDP</v>
      </c>
      <c r="AH21" s="62" t="str">
        <f aca="false">IF(ISERROR(VLOOKUP(AH$20,RawData,$A21,0)),0,VLOOKUP(AH$20,RawData,$A21,0))</f>
        <v>Cypress 34 A CDP</v>
      </c>
      <c r="AI21" s="62" t="str">
        <f aca="false">IF(ISERROR(VLOOKUP(AI$20,RawData,$A21,0)),0,VLOOKUP(AI$20,RawData,$A21,0))</f>
        <v>Welcome to Golden CDP MTR #1</v>
      </c>
      <c r="AJ21" s="62" t="str">
        <f aca="false">IF(ISERROR(VLOOKUP(AJ$20,RawData,$A21,0)),0,VLOOKUP(AJ$20,RawData,$A21,0))</f>
        <v>Welcome to Golden CDP MTR #2</v>
      </c>
      <c r="AK21" s="62" t="str">
        <f aca="false">IF(ISERROR(VLOOKUP(AK$20,RawData,$A21,0)),0,VLOOKUP(AK$20,RawData,$A21,0))</f>
        <v>Cypress 34 B CDP</v>
      </c>
      <c r="AL21" s="62" t="str">
        <f aca="false">IF(ISERROR(VLOOKUP(AL$20,RawData,$A21,0)),0,VLOOKUP(AL$20,RawData,$A21,0))</f>
        <v>Nailed It A CDP</v>
      </c>
      <c r="AM21" s="62" t="str">
        <f aca="false">IF(ISERROR(VLOOKUP(AM$20,RawData,$A21,0)),0,VLOOKUP(AM$20,RawData,$A21,0))</f>
        <v>Bluto CDP</v>
      </c>
      <c r="AN21" s="62" t="str">
        <f aca="false">IF(ISERROR(VLOOKUP(AN$20,RawData,$A21,0)),0,VLOOKUP(AN$20,RawData,$A21,0))</f>
        <v>DF Ranch CDP</v>
      </c>
      <c r="AO21" s="62" t="str">
        <f aca="false">IF(ISERROR(VLOOKUP(AO$20,RawData,$A21,0)),0,VLOOKUP(AO$20,RawData,$A21,0))</f>
        <v>Quito CDP MTR #1</v>
      </c>
      <c r="AP21" s="62" t="str">
        <f aca="false">IF(ISERROR(VLOOKUP(AP$20,RawData,$A21,0)),0,VLOOKUP(AP$20,RawData,$A21,0))</f>
        <v>Quito CDP MTR #2</v>
      </c>
      <c r="AQ21" s="62" t="str">
        <f aca="false">IF(ISERROR(VLOOKUP(AQ$20,RawData,$A21,0)),0,VLOOKUP(AQ$20,RawData,$A21,0))</f>
        <v>Brazos CDP</v>
      </c>
      <c r="AR21" s="62" t="str">
        <f aca="false">IF(ISERROR(VLOOKUP(AR$20,RawData,$A21,0)),0,VLOOKUP(AR$20,RawData,$A21,0))</f>
        <v>Abigail CDP</v>
      </c>
      <c r="AS21" s="62" t="str">
        <f aca="false">IF(ISERROR(VLOOKUP(AS$20,RawData,$A21,0)),0,VLOOKUP(AS$20,RawData,$A21,0))</f>
        <v>Emma CDP</v>
      </c>
      <c r="AT21" s="62" t="str">
        <f aca="false">IF(ISERROR(VLOOKUP(AT$20,RawData,$A21,0)),0,VLOOKUP(AT$20,RawData,$A21,0))</f>
        <v>Crestwood CDP</v>
      </c>
      <c r="AU21" s="63" t="str">
        <f aca="false">IF(ISERROR(VLOOKUP(AU$20,RawData,$A21,0)),0,VLOOKUP(AU$20,RawData,$A21,0))</f>
        <v>Jim Ed CDP</v>
      </c>
      <c r="AV21" s="63" t="str">
        <f aca="false">IF(ISERROR(VLOOKUP(AV$20,RawData,$A21,0)),0,VLOOKUP(AV$20,RawData,$A21,0))</f>
        <v>Parker CDP</v>
      </c>
      <c r="AW21" s="63" t="str">
        <f aca="false">IF(ISERROR(VLOOKUP(AW$20,RawData,$A21,0)),0,VLOOKUP(AW$20,RawData,$A21,0))</f>
        <v>Parker 2 CDP</v>
      </c>
      <c r="AX21" s="63" t="str">
        <f aca="false">IF(ISERROR(VLOOKUP(AX$20,RawData,$A21,0)),0,VLOOKUP(AX$20,RawData,$A21,0))</f>
        <v>Rock Ridge Federal CDP</v>
      </c>
      <c r="AY21" s="63" t="str">
        <f aca="false">IF(ISERROR(VLOOKUP(AY$20,RawData,$A21,0)),0,VLOOKUP(AY$20,RawData,$A21,0))</f>
        <v>Roy CDP</v>
      </c>
      <c r="AZ21" s="63" t="str">
        <f aca="false">IF(ISERROR(VLOOKUP(AZ$20,RawData,$A21,0)),0,VLOOKUP(AZ$20,RawData,$A21,0))</f>
        <v>Flat Head CDP</v>
      </c>
      <c r="BA21" s="63" t="str">
        <f aca="false">IF(ISERROR(VLOOKUP(BA$20,RawData,$A21,0)),0,VLOOKUP(BA$20,RawData,$A21,0))</f>
        <v>Jeff East CDP</v>
      </c>
      <c r="BB21" s="63" t="str">
        <f aca="false">IF(ISERROR(VLOOKUP(BB$20,RawData,$A21,0)),0,VLOOKUP(BB$20,RawData,$A21,0))</f>
        <v>Gillette CDP</v>
      </c>
      <c r="BC21" s="63" t="str">
        <f aca="false">IF(ISERROR(VLOOKUP(BC$20,RawData,$A21,0)),0,VLOOKUP(BC$20,RawData,$A21,0))</f>
        <v>Yellowtail CDP</v>
      </c>
      <c r="BD21" s="63" t="str">
        <f aca="false">IF(ISERROR(VLOOKUP(BD$20,RawData,$A21,0)),0,VLOOKUP(BD$20,RawData,$A21,0))</f>
        <v>Wild Jenny CDP</v>
      </c>
      <c r="BE21" s="63" t="n">
        <f aca="false">IF(ISERROR(VLOOKUP(BE$20,RawData,$A21,0)),0,VLOOKUP(BE$20,RawData,$A21,0))</f>
        <v>0</v>
      </c>
      <c r="BF21" s="63" t="str">
        <f aca="false">IF(ISERROR(VLOOKUP(BF$20,RawData,$A21,0)),0,VLOOKUP(BF$20,RawData,$A21,0))</f>
        <v>Mazer CDP</v>
      </c>
      <c r="BG21" s="63" t="str">
        <f aca="false">IF(ISERROR(VLOOKUP(BG$20,RawData,$A21,0)),0,VLOOKUP(BG$20,RawData,$A21,0))</f>
        <v>King George CDP</v>
      </c>
      <c r="BH21" s="63" t="str">
        <f aca="false">IF(ISERROR(VLOOKUP(BH$20,RawData,$A21,0)),0,VLOOKUP(BH$20,RawData,$A21,0))</f>
        <v>Rick Vaughn CDP</v>
      </c>
      <c r="BI21" s="64" t="n">
        <f aca="false">IF(ISERROR(VLOOKUP(BI$20,RawData,$A21,0)),0,VLOOKUP(BI$20,RawData,$A21,0))</f>
        <v>0</v>
      </c>
    </row>
    <row r="22" customFormat="false" ht="15.75" hidden="false" customHeight="true" outlineLevel="0" collapsed="false">
      <c r="A22" s="65" t="n">
        <v>3</v>
      </c>
      <c r="B22" s="66" t="n">
        <f aca="false">IF(ISERROR(VLOOKUP(B$20,RawData,$A22,0)),0,VLOOKUP(B$20,RawData,$A22,0))</f>
        <v>0</v>
      </c>
      <c r="C22" s="67" t="n">
        <f aca="false">IF(ISERROR(VLOOKUP(C$20,RawData,$A22,0)),0,VLOOKUP(C$20,RawData,$A22,0))</f>
        <v>0</v>
      </c>
      <c r="D22" s="67" t="n">
        <f aca="false">IF(ISERROR(VLOOKUP(D$20,RawData,$A22,0)),0,VLOOKUP(D$20,RawData,$A22,0))</f>
        <v>46376.34</v>
      </c>
      <c r="E22" s="67" t="n">
        <f aca="false">IF(ISERROR(VLOOKUP(E$20,RawData,$A22,0)),0,VLOOKUP(E$20,RawData,$A22,0))</f>
        <v>0</v>
      </c>
      <c r="F22" s="67" t="n">
        <f aca="false">IF(ISERROR(VLOOKUP(F$20,RawData,$A22,0)),0,VLOOKUP(F$20,RawData,$A22,0))</f>
        <v>16278.35</v>
      </c>
      <c r="G22" s="67" t="n">
        <f aca="false">IF(ISERROR(VLOOKUP(G$20,RawData,$A22,0)),0,VLOOKUP(G$20,RawData,$A22,0))</f>
        <v>12576.36</v>
      </c>
      <c r="H22" s="67" t="n">
        <f aca="false">IF(ISERROR(VLOOKUP(H$20,RawData,$A22,0)),0,VLOOKUP(H$20,RawData,$A22,0))</f>
        <v>24861.69</v>
      </c>
      <c r="I22" s="67" t="n">
        <f aca="false">IF(ISERROR(VLOOKUP(I$20,RawData,$A22,0)),0,VLOOKUP(I$20,RawData,$A22,0))</f>
        <v>8689.66</v>
      </c>
      <c r="J22" s="67" t="n">
        <f aca="false">IF(ISERROR(VLOOKUP(J$20,RawData,$A22,0)),0,VLOOKUP(J$20,RawData,$A22,0))</f>
        <v>411540.2</v>
      </c>
      <c r="K22" s="67" t="n">
        <f aca="false">IF(ISERROR(VLOOKUP(K$20,RawData,$A22,0)),0,VLOOKUP(K$20,RawData,$A22,0))</f>
        <v>279240.52</v>
      </c>
      <c r="L22" s="67" t="n">
        <f aca="false">IF(ISERROR(VLOOKUP(L$20,RawData,$A22,0)),0,VLOOKUP(L$20,RawData,$A22,0))</f>
        <v>1151339.8</v>
      </c>
      <c r="M22" s="67" t="n">
        <f aca="false">IF(ISERROR(VLOOKUP(M$20,RawData,$A22,0)),0,VLOOKUP(M$20,RawData,$A22,0))</f>
        <v>131184.94</v>
      </c>
      <c r="N22" s="67" t="n">
        <f aca="false">IF(ISERROR(VLOOKUP(N$20,RawData,$A22,0)),0,VLOOKUP(N$20,RawData,$A22,0))</f>
        <v>346861.43</v>
      </c>
      <c r="O22" s="67" t="n">
        <f aca="false">IF(ISERROR(VLOOKUP(O$20,RawData,$A22,0)),0,VLOOKUP(O$20,RawData,$A22,0))</f>
        <v>0</v>
      </c>
      <c r="P22" s="67" t="n">
        <f aca="false">IF(ISERROR(VLOOKUP(P$20,RawData,$A22,0)),0,VLOOKUP(P$20,RawData,$A22,0))</f>
        <v>294377.62</v>
      </c>
      <c r="Q22" s="67" t="n">
        <f aca="false">IF(ISERROR(VLOOKUP(Q$20,RawData,$A22,0)),0,VLOOKUP(Q$20,RawData,$A22,0))</f>
        <v>0</v>
      </c>
      <c r="R22" s="67" t="n">
        <f aca="false">IF(ISERROR(VLOOKUP(R$20,RawData,$A22,0)),0,VLOOKUP(R$20,RawData,$A22,0))</f>
        <v>0</v>
      </c>
      <c r="S22" s="67" t="n">
        <f aca="false">IF(ISERROR(VLOOKUP(S$20,RawData,$A22,0)),0,VLOOKUP(S$20,RawData,$A22,0))</f>
        <v>45361.55</v>
      </c>
      <c r="T22" s="67" t="n">
        <f aca="false">IF(ISERROR(VLOOKUP(T$20,RawData,$A22,0)),0,VLOOKUP(T$20,RawData,$A22,0))</f>
        <v>164104.08</v>
      </c>
      <c r="U22" s="67" t="n">
        <f aca="false">IF(ISERROR(VLOOKUP(U$20,RawData,$A22,0)),0,VLOOKUP(U$20,RawData,$A22,0))</f>
        <v>0</v>
      </c>
      <c r="V22" s="67" t="n">
        <f aca="false">IF(ISERROR(VLOOKUP(V$20,RawData,$A22,0)),0,VLOOKUP(V$20,RawData,$A22,0))</f>
        <v>815353.24</v>
      </c>
      <c r="W22" s="67" t="n">
        <f aca="false">IF(ISERROR(VLOOKUP(W$20,RawData,$A22,0)),0,VLOOKUP(W$20,RawData,$A22,0))</f>
        <v>126383.28</v>
      </c>
      <c r="X22" s="67" t="n">
        <f aca="false">IF(ISERROR(VLOOKUP(X$20,RawData,$A22,0)),0,VLOOKUP(X$20,RawData,$A22,0))</f>
        <v>0</v>
      </c>
      <c r="Y22" s="67" t="n">
        <f aca="false">IF(ISERROR(VLOOKUP(Y$20,RawData,$A22,0)),0,VLOOKUP(Y$20,RawData,$A22,0))</f>
        <v>14399.14</v>
      </c>
      <c r="Z22" s="67" t="n">
        <f aca="false">IF(ISERROR(VLOOKUP(Z$20,RawData,$A22,0)),0,VLOOKUP(Z$20,RawData,$A22,0))</f>
        <v>29648.04</v>
      </c>
      <c r="AA22" s="67" t="n">
        <f aca="false">IF(ISERROR(VLOOKUP(AA$20,RawData,$A22,0)),0,VLOOKUP(AA$20,RawData,$A22,0))</f>
        <v>0</v>
      </c>
      <c r="AB22" s="67" t="n">
        <f aca="false">IF(ISERROR(VLOOKUP(AB$20,RawData,$A22,0)),0,VLOOKUP(AB$20,RawData,$A22,0))</f>
        <v>786056.19</v>
      </c>
      <c r="AC22" s="67" t="n">
        <f aca="false">IF(ISERROR(VLOOKUP(AC$20,RawData,$A22,0)),0,VLOOKUP(AC$20,RawData,$A22,0))</f>
        <v>0</v>
      </c>
      <c r="AD22" s="67" t="n">
        <f aca="false">IF(ISERROR(VLOOKUP(AD$20,RawData,$A22,0)),0,VLOOKUP(AD$20,RawData,$A22,0))</f>
        <v>325254.55</v>
      </c>
      <c r="AE22" s="67" t="n">
        <f aca="false">IF(ISERROR(VLOOKUP(AE$20,RawData,$A22,0)),0,VLOOKUP(AE$20,RawData,$A22,0))</f>
        <v>166498.74</v>
      </c>
      <c r="AF22" s="67" t="n">
        <f aca="false">IF(ISERROR(VLOOKUP(AF$20,RawData,$A22,0)),0,VLOOKUP(AF$20,RawData,$A22,0))</f>
        <v>397018.39</v>
      </c>
      <c r="AG22" s="67" t="n">
        <f aca="false">IF(ISERROR(VLOOKUP(AG$20,RawData,$A22,0)),0,VLOOKUP(AG$20,RawData,$A22,0))</f>
        <v>287535.81</v>
      </c>
      <c r="AH22" s="67" t="n">
        <f aca="false">IF(ISERROR(VLOOKUP(AH$20,RawData,$A22,0)),0,VLOOKUP(AH$20,RawData,$A22,0))</f>
        <v>260982.1</v>
      </c>
      <c r="AI22" s="67" t="n">
        <f aca="false">IF(ISERROR(VLOOKUP(AI$20,RawData,$A22,0)),0,VLOOKUP(AI$20,RawData,$A22,0))</f>
        <v>390995.13</v>
      </c>
      <c r="AJ22" s="67" t="n">
        <f aca="false">IF(ISERROR(VLOOKUP(AJ$20,RawData,$A22,0)),0,VLOOKUP(AJ$20,RawData,$A22,0))</f>
        <v>475522.56</v>
      </c>
      <c r="AK22" s="67" t="n">
        <f aca="false">IF(ISERROR(VLOOKUP(AK$20,RawData,$A22,0)),0,VLOOKUP(AK$20,RawData,$A22,0))</f>
        <v>131921.42</v>
      </c>
      <c r="AL22" s="67" t="n">
        <f aca="false">IF(ISERROR(VLOOKUP(AL$20,RawData,$A22,0)),0,VLOOKUP(AL$20,RawData,$A22,0))</f>
        <v>522485.52</v>
      </c>
      <c r="AM22" s="67" t="n">
        <f aca="false">IF(ISERROR(VLOOKUP(AM$20,RawData,$A22,0)),0,VLOOKUP(AM$20,RawData,$A22,0))</f>
        <v>84015.9</v>
      </c>
      <c r="AN22" s="67" t="n">
        <f aca="false">IF(ISERROR(VLOOKUP(AN$20,RawData,$A22,0)),0,VLOOKUP(AN$20,RawData,$A22,0))</f>
        <v>0</v>
      </c>
      <c r="AO22" s="67" t="n">
        <f aca="false">IF(ISERROR(VLOOKUP(AO$20,RawData,$A22,0)),0,VLOOKUP(AO$20,RawData,$A22,0))</f>
        <v>0</v>
      </c>
      <c r="AP22" s="67" t="n">
        <f aca="false">IF(ISERROR(VLOOKUP(AP$20,RawData,$A22,0)),0,VLOOKUP(AP$20,RawData,$A22,0))</f>
        <v>374548.34</v>
      </c>
      <c r="AQ22" s="67" t="n">
        <f aca="false">IF(ISERROR(VLOOKUP(AQ$20,RawData,$A22,0)),0,VLOOKUP(AQ$20,RawData,$A22,0))</f>
        <v>70367.31</v>
      </c>
      <c r="AR22" s="67" t="n">
        <f aca="false">IF(ISERROR(VLOOKUP(AR$20,RawData,$A22,0)),0,VLOOKUP(AR$20,RawData,$A22,0))</f>
        <v>24409.81</v>
      </c>
      <c r="AS22" s="67" t="n">
        <f aca="false">IF(ISERROR(VLOOKUP(AS$20,RawData,$A22,0)),0,VLOOKUP(AS$20,RawData,$A22,0))</f>
        <v>45054.18</v>
      </c>
      <c r="AT22" s="67" t="n">
        <f aca="false">IF(ISERROR(VLOOKUP(AT$20,RawData,$A22,0)),0,VLOOKUP(AT$20,RawData,$A22,0))</f>
        <v>300611.73</v>
      </c>
      <c r="AU22" s="67" t="n">
        <f aca="false">IF(ISERROR(VLOOKUP(AU$20,RawData,$A22,0)),0,VLOOKUP(AU$20,RawData,$A22,0))</f>
        <v>187564.33</v>
      </c>
      <c r="AV22" s="67" t="n">
        <f aca="false">IF(ISERROR(VLOOKUP(AV$20,RawData,$A22,0)),0,VLOOKUP(AV$20,RawData,$A22,0))</f>
        <v>425503.15</v>
      </c>
      <c r="AW22" s="67" t="n">
        <f aca="false">IF(ISERROR(VLOOKUP(AW$20,RawData,$A22,0)),0,VLOOKUP(AW$20,RawData,$A22,0))</f>
        <v>0</v>
      </c>
      <c r="AX22" s="67" t="n">
        <f aca="false">IF(ISERROR(VLOOKUP(AX$20,RawData,$A22,0)),0,VLOOKUP(AX$20,RawData,$A22,0))</f>
        <v>226763.72</v>
      </c>
      <c r="AY22" s="67" t="n">
        <f aca="false">IF(ISERROR(VLOOKUP(AY$20,RawData,$A22,0)),0,VLOOKUP(AY$20,RawData,$A22,0))</f>
        <v>51042.07</v>
      </c>
      <c r="AZ22" s="67" t="n">
        <f aca="false">IF(ISERROR(VLOOKUP(AZ$20,RawData,$A22,0)),0,VLOOKUP(AZ$20,RawData,$A22,0))</f>
        <v>23172.18</v>
      </c>
      <c r="BA22" s="67" t="n">
        <f aca="false">IF(ISERROR(VLOOKUP(BA$20,RawData,$A22,0)),0,VLOOKUP(BA$20,RawData,$A22,0))</f>
        <v>164470.78</v>
      </c>
      <c r="BB22" s="67" t="n">
        <f aca="false">IF(ISERROR(VLOOKUP(BB$20,RawData,$A22,0)),0,VLOOKUP(BB$20,RawData,$A22,0))</f>
        <v>17299.87</v>
      </c>
      <c r="BC22" s="67" t="n">
        <f aca="false">IF(ISERROR(VLOOKUP(BC$20,RawData,$A22,0)),0,VLOOKUP(BC$20,RawData,$A22,0))</f>
        <v>93835.16</v>
      </c>
      <c r="BD22" s="67" t="n">
        <f aca="false">IF(ISERROR(VLOOKUP(BD$20,RawData,$A22,0)),0,VLOOKUP(BD$20,RawData,$A22,0))</f>
        <v>135025.2</v>
      </c>
      <c r="BE22" s="67" t="n">
        <f aca="false">IF(ISERROR(VLOOKUP(BE$20,RawData,$A22,0)),0,VLOOKUP(BE$20,RawData,$A22,0))</f>
        <v>0</v>
      </c>
      <c r="BF22" s="67" t="n">
        <f aca="false">IF(ISERROR(VLOOKUP(BF$20,RawData,$A22,0)),0,VLOOKUP(BF$20,RawData,$A22,0))</f>
        <v>62525.86</v>
      </c>
      <c r="BG22" s="67" t="n">
        <f aca="false">IF(ISERROR(VLOOKUP(BG$20,RawData,$A22,0)),0,VLOOKUP(BG$20,RawData,$A22,0))</f>
        <v>66780.48</v>
      </c>
      <c r="BH22" s="67" t="n">
        <f aca="false">IF(ISERROR(VLOOKUP(BH$20,RawData,$A22,0)),0,VLOOKUP(BH$20,RawData,$A22,0))</f>
        <v>399850.83</v>
      </c>
      <c r="BI22" s="68" t="n">
        <f aca="false">IF(ISERROR(VLOOKUP(BI$20,RawData,$A22,0)),0,VLOOKUP(BI$20,RawData,$A22,0))</f>
        <v>0</v>
      </c>
      <c r="BJ22" s="49"/>
      <c r="BK22" s="49"/>
      <c r="BL22" s="49"/>
      <c r="BM22" s="49"/>
      <c r="BN22" s="49"/>
      <c r="BO22" s="49"/>
      <c r="BP22" s="49"/>
      <c r="BQ22" s="49"/>
      <c r="BR22" s="49"/>
      <c r="BS22" s="49"/>
      <c r="BT22" s="49"/>
      <c r="BU22" s="49"/>
      <c r="BV22" s="49"/>
      <c r="BW22" s="49"/>
      <c r="BX22" s="49"/>
      <c r="BY22" s="49"/>
      <c r="BZ22" s="49"/>
      <c r="CA22" s="49"/>
      <c r="CB22" s="49"/>
      <c r="CC22" s="49"/>
    </row>
    <row r="23" customFormat="false" ht="15.75" hidden="false" customHeight="true" outlineLevel="0" collapsed="false">
      <c r="A23" s="65" t="n">
        <v>4</v>
      </c>
      <c r="B23" s="66" t="n">
        <f aca="false">IF(ISERROR(VLOOKUP(B$20,RawData,$A23,0)),0,VLOOKUP(B$20,RawData,$A23,0))</f>
        <v>0</v>
      </c>
      <c r="C23" s="67" t="n">
        <f aca="false">IF(ISERROR(VLOOKUP(C$20,RawData,$A23,0)),0,VLOOKUP(C$20,RawData,$A23,0))</f>
        <v>0</v>
      </c>
      <c r="D23" s="67" t="n">
        <f aca="false">IF(ISERROR(VLOOKUP(D$20,RawData,$A23,0)),0,VLOOKUP(D$20,RawData,$A23,0))</f>
        <v>58016.8</v>
      </c>
      <c r="E23" s="67" t="n">
        <f aca="false">IF(ISERROR(VLOOKUP(E$20,RawData,$A23,0)),0,VLOOKUP(E$20,RawData,$A23,0))</f>
        <v>0</v>
      </c>
      <c r="F23" s="67" t="n">
        <f aca="false">IF(ISERROR(VLOOKUP(F$20,RawData,$A23,0)),0,VLOOKUP(F$20,RawData,$A23,0))</f>
        <v>20543.28</v>
      </c>
      <c r="G23" s="67" t="n">
        <f aca="false">IF(ISERROR(VLOOKUP(G$20,RawData,$A23,0)),0,VLOOKUP(G$20,RawData,$A23,0))</f>
        <v>15619.84</v>
      </c>
      <c r="H23" s="67" t="n">
        <f aca="false">IF(ISERROR(VLOOKUP(H$20,RawData,$A23,0)),0,VLOOKUP(H$20,RawData,$A23,0))</f>
        <v>32195.89</v>
      </c>
      <c r="I23" s="67" t="n">
        <f aca="false">IF(ISERROR(VLOOKUP(I$20,RawData,$A23,0)),0,VLOOKUP(I$20,RawData,$A23,0))</f>
        <v>10670.91</v>
      </c>
      <c r="J23" s="67" t="n">
        <f aca="false">IF(ISERROR(VLOOKUP(J$20,RawData,$A23,0)),0,VLOOKUP(J$20,RawData,$A23,0))</f>
        <v>513190.63</v>
      </c>
      <c r="K23" s="67" t="n">
        <f aca="false">IF(ISERROR(VLOOKUP(K$20,RawData,$A23,0)),0,VLOOKUP(K$20,RawData,$A23,0))</f>
        <v>366642.81</v>
      </c>
      <c r="L23" s="67" t="n">
        <f aca="false">IF(ISERROR(VLOOKUP(L$20,RawData,$A23,0)),0,VLOOKUP(L$20,RawData,$A23,0))</f>
        <v>1449805.67</v>
      </c>
      <c r="M23" s="67" t="n">
        <f aca="false">IF(ISERROR(VLOOKUP(M$20,RawData,$A23,0)),0,VLOOKUP(M$20,RawData,$A23,0))</f>
        <v>165191.8</v>
      </c>
      <c r="N23" s="67" t="n">
        <f aca="false">IF(ISERROR(VLOOKUP(N$20,RawData,$A23,0)),0,VLOOKUP(N$20,RawData,$A23,0))</f>
        <v>433604.99</v>
      </c>
      <c r="O23" s="67" t="n">
        <f aca="false">IF(ISERROR(VLOOKUP(O$20,RawData,$A23,0)),0,VLOOKUP(O$20,RawData,$A23,0))</f>
        <v>0</v>
      </c>
      <c r="P23" s="67" t="n">
        <f aca="false">IF(ISERROR(VLOOKUP(P$20,RawData,$A23,0)),0,VLOOKUP(P$20,RawData,$A23,0))</f>
        <v>369069.05</v>
      </c>
      <c r="Q23" s="67" t="n">
        <f aca="false">IF(ISERROR(VLOOKUP(Q$20,RawData,$A23,0)),0,VLOOKUP(Q$20,RawData,$A23,0))</f>
        <v>0</v>
      </c>
      <c r="R23" s="67" t="n">
        <f aca="false">IF(ISERROR(VLOOKUP(R$20,RawData,$A23,0)),0,VLOOKUP(R$20,RawData,$A23,0))</f>
        <v>0</v>
      </c>
      <c r="S23" s="67" t="n">
        <f aca="false">IF(ISERROR(VLOOKUP(S$20,RawData,$A23,0)),0,VLOOKUP(S$20,RawData,$A23,0))</f>
        <v>55613.26</v>
      </c>
      <c r="T23" s="67" t="n">
        <f aca="false">IF(ISERROR(VLOOKUP(T$20,RawData,$A23,0)),0,VLOOKUP(T$20,RawData,$A23,0))</f>
        <v>203412.95</v>
      </c>
      <c r="U23" s="67" t="n">
        <f aca="false">IF(ISERROR(VLOOKUP(U$20,RawData,$A23,0)),0,VLOOKUP(U$20,RawData,$A23,0))</f>
        <v>0</v>
      </c>
      <c r="V23" s="67" t="n">
        <f aca="false">IF(ISERROR(VLOOKUP(V$20,RawData,$A23,0)),0,VLOOKUP(V$20,RawData,$A23,0))</f>
        <v>1002884.54</v>
      </c>
      <c r="W23" s="67" t="n">
        <f aca="false">IF(ISERROR(VLOOKUP(W$20,RawData,$A23,0)),0,VLOOKUP(W$20,RawData,$A23,0))</f>
        <v>153429.3</v>
      </c>
      <c r="X23" s="67" t="n">
        <f aca="false">IF(ISERROR(VLOOKUP(X$20,RawData,$A23,0)),0,VLOOKUP(X$20,RawData,$A23,0))</f>
        <v>0</v>
      </c>
      <c r="Y23" s="67" t="n">
        <f aca="false">IF(ISERROR(VLOOKUP(Y$20,RawData,$A23,0)),0,VLOOKUP(Y$20,RawData,$A23,0))</f>
        <v>20187.6</v>
      </c>
      <c r="Z23" s="67" t="n">
        <f aca="false">IF(ISERROR(VLOOKUP(Z$20,RawData,$A23,0)),0,VLOOKUP(Z$20,RawData,$A23,0))</f>
        <v>46488.12</v>
      </c>
      <c r="AA23" s="67" t="n">
        <f aca="false">IF(ISERROR(VLOOKUP(AA$20,RawData,$A23,0)),0,VLOOKUP(AA$20,RawData,$A23,0))</f>
        <v>0</v>
      </c>
      <c r="AB23" s="67" t="n">
        <f aca="false">IF(ISERROR(VLOOKUP(AB$20,RawData,$A23,0)),0,VLOOKUP(AB$20,RawData,$A23,0))</f>
        <v>1024231.22</v>
      </c>
      <c r="AC23" s="67" t="n">
        <f aca="false">IF(ISERROR(VLOOKUP(AC$20,RawData,$A23,0)),0,VLOOKUP(AC$20,RawData,$A23,0))</f>
        <v>0</v>
      </c>
      <c r="AD23" s="67" t="n">
        <f aca="false">IF(ISERROR(VLOOKUP(AD$20,RawData,$A23,0)),0,VLOOKUP(AD$20,RawData,$A23,0))</f>
        <v>417952.1</v>
      </c>
      <c r="AE23" s="67" t="n">
        <f aca="false">IF(ISERROR(VLOOKUP(AE$20,RawData,$A23,0)),0,VLOOKUP(AE$20,RawData,$A23,0))</f>
        <v>223957.45</v>
      </c>
      <c r="AF23" s="67" t="n">
        <f aca="false">IF(ISERROR(VLOOKUP(AF$20,RawData,$A23,0)),0,VLOOKUP(AF$20,RawData,$A23,0))</f>
        <v>508977.57</v>
      </c>
      <c r="AG23" s="67" t="n">
        <f aca="false">IF(ISERROR(VLOOKUP(AG$20,RawData,$A23,0)),0,VLOOKUP(AG$20,RawData,$A23,0))</f>
        <v>366895.69</v>
      </c>
      <c r="AH23" s="67" t="n">
        <f aca="false">IF(ISERROR(VLOOKUP(AH$20,RawData,$A23,0)),0,VLOOKUP(AH$20,RawData,$A23,0))</f>
        <v>327271.55</v>
      </c>
      <c r="AI23" s="67" t="n">
        <f aca="false">IF(ISERROR(VLOOKUP(AI$20,RawData,$A23,0)),0,VLOOKUP(AI$20,RawData,$A23,0))</f>
        <v>514119.49</v>
      </c>
      <c r="AJ23" s="67" t="n">
        <f aca="false">IF(ISERROR(VLOOKUP(AJ$20,RawData,$A23,0)),0,VLOOKUP(AJ$20,RawData,$A23,0))</f>
        <v>625264.62</v>
      </c>
      <c r="AK23" s="67" t="n">
        <f aca="false">IF(ISERROR(VLOOKUP(AK$20,RawData,$A23,0)),0,VLOOKUP(AK$20,RawData,$A23,0))</f>
        <v>167935.97</v>
      </c>
      <c r="AL23" s="67" t="n">
        <f aca="false">IF(ISERROR(VLOOKUP(AL$20,RawData,$A23,0)),0,VLOOKUP(AL$20,RawData,$A23,0))</f>
        <v>668258.98</v>
      </c>
      <c r="AM23" s="67" t="n">
        <f aca="false">IF(ISERROR(VLOOKUP(AM$20,RawData,$A23,0)),0,VLOOKUP(AM$20,RawData,$A23,0))</f>
        <v>103843.65</v>
      </c>
      <c r="AN23" s="67" t="n">
        <f aca="false">IF(ISERROR(VLOOKUP(AN$20,RawData,$A23,0)),0,VLOOKUP(AN$20,RawData,$A23,0))</f>
        <v>0</v>
      </c>
      <c r="AO23" s="67" t="n">
        <f aca="false">IF(ISERROR(VLOOKUP(AO$20,RawData,$A23,0)),0,VLOOKUP(AO$20,RawData,$A23,0))</f>
        <v>0</v>
      </c>
      <c r="AP23" s="67" t="n">
        <f aca="false">IF(ISERROR(VLOOKUP(AP$20,RawData,$A23,0)),0,VLOOKUP(AP$20,RawData,$A23,0))</f>
        <v>443090.69</v>
      </c>
      <c r="AQ23" s="67" t="n">
        <f aca="false">IF(ISERROR(VLOOKUP(AQ$20,RawData,$A23,0)),0,VLOOKUP(AQ$20,RawData,$A23,0))</f>
        <v>85355.54</v>
      </c>
      <c r="AR23" s="67" t="n">
        <f aca="false">IF(ISERROR(VLOOKUP(AR$20,RawData,$A23,0)),0,VLOOKUP(AR$20,RawData,$A23,0))</f>
        <v>29755.56</v>
      </c>
      <c r="AS23" s="67" t="n">
        <f aca="false">IF(ISERROR(VLOOKUP(AS$20,RawData,$A23,0)),0,VLOOKUP(AS$20,RawData,$A23,0))</f>
        <v>55281.48</v>
      </c>
      <c r="AT23" s="67" t="n">
        <f aca="false">IF(ISERROR(VLOOKUP(AT$20,RawData,$A23,0)),0,VLOOKUP(AT$20,RawData,$A23,0))</f>
        <v>365543.87</v>
      </c>
      <c r="AU23" s="67" t="n">
        <f aca="false">IF(ISERROR(VLOOKUP(AU$20,RawData,$A23,0)),0,VLOOKUP(AU$20,RawData,$A23,0))</f>
        <v>235768.36</v>
      </c>
      <c r="AV23" s="67" t="n">
        <f aca="false">IF(ISERROR(VLOOKUP(AV$20,RawData,$A23,0)),0,VLOOKUP(AV$20,RawData,$A23,0))</f>
        <v>574003.75</v>
      </c>
      <c r="AW23" s="67" t="n">
        <f aca="false">IF(ISERROR(VLOOKUP(AW$20,RawData,$A23,0)),0,VLOOKUP(AW$20,RawData,$A23,0))</f>
        <v>0</v>
      </c>
      <c r="AX23" s="67" t="n">
        <f aca="false">IF(ISERROR(VLOOKUP(AX$20,RawData,$A23,0)),0,VLOOKUP(AX$20,RawData,$A23,0))</f>
        <v>279599.66</v>
      </c>
      <c r="AY23" s="67" t="n">
        <f aca="false">IF(ISERROR(VLOOKUP(AY$20,RawData,$A23,0)),0,VLOOKUP(AY$20,RawData,$A23,0))</f>
        <v>72326.62</v>
      </c>
      <c r="AZ23" s="67" t="n">
        <f aca="false">IF(ISERROR(VLOOKUP(AZ$20,RawData,$A23,0)),0,VLOOKUP(AZ$20,RawData,$A23,0))</f>
        <v>35036.33</v>
      </c>
      <c r="BA23" s="67" t="n">
        <f aca="false">IF(ISERROR(VLOOKUP(BA$20,RawData,$A23,0)),0,VLOOKUP(BA$20,RawData,$A23,0))</f>
        <v>231081.44</v>
      </c>
      <c r="BB23" s="67" t="n">
        <f aca="false">IF(ISERROR(VLOOKUP(BB$20,RawData,$A23,0)),0,VLOOKUP(BB$20,RawData,$A23,0))</f>
        <v>23960.32</v>
      </c>
      <c r="BC23" s="67" t="n">
        <f aca="false">IF(ISERROR(VLOOKUP(BC$20,RawData,$A23,0)),0,VLOOKUP(BC$20,RawData,$A23,0))</f>
        <v>137843.85</v>
      </c>
      <c r="BD23" s="67" t="n">
        <f aca="false">IF(ISERROR(VLOOKUP(BD$20,RawData,$A23,0)),0,VLOOKUP(BD$20,RawData,$A23,0))</f>
        <v>181203.81</v>
      </c>
      <c r="BE23" s="67" t="n">
        <f aca="false">IF(ISERROR(VLOOKUP(BE$20,RawData,$A23,0)),0,VLOOKUP(BE$20,RawData,$A23,0))</f>
        <v>0</v>
      </c>
      <c r="BF23" s="67" t="n">
        <f aca="false">IF(ISERROR(VLOOKUP(BF$20,RawData,$A23,0)),0,VLOOKUP(BF$20,RawData,$A23,0))</f>
        <v>81971.41</v>
      </c>
      <c r="BG23" s="67" t="n">
        <f aca="false">IF(ISERROR(VLOOKUP(BG$20,RawData,$A23,0)),0,VLOOKUP(BG$20,RawData,$A23,0))</f>
        <v>93559.45</v>
      </c>
      <c r="BH23" s="67" t="n">
        <f aca="false">IF(ISERROR(VLOOKUP(BH$20,RawData,$A23,0)),0,VLOOKUP(BH$20,RawData,$A23,0))</f>
        <v>554593.09</v>
      </c>
      <c r="BI23" s="68" t="n">
        <f aca="false">IF(ISERROR(VLOOKUP(BI$20,RawData,$A23,0)),0,VLOOKUP(BI$20,RawData,$A23,0))</f>
        <v>0</v>
      </c>
      <c r="BJ23" s="49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9"/>
      <c r="BW23" s="49"/>
      <c r="BX23" s="49"/>
      <c r="BY23" s="49"/>
      <c r="BZ23" s="49"/>
      <c r="CA23" s="49"/>
      <c r="CB23" s="49"/>
      <c r="CC23" s="49"/>
    </row>
    <row r="24" customFormat="false" ht="15.75" hidden="false" customHeight="true" outlineLevel="0" collapsed="false">
      <c r="A24" s="65" t="n">
        <v>5</v>
      </c>
      <c r="B24" s="66" t="n">
        <f aca="false">IF(ISERROR(VLOOKUP(B$20,RawData,$A24,0)),0,VLOOKUP(B$20,RawData,$A24,0))</f>
        <v>22.3561763237881</v>
      </c>
      <c r="C24" s="67" t="n">
        <f aca="false">IF(ISERROR(VLOOKUP(C$20,RawData,$A24,0)),0,VLOOKUP(C$20,RawData,$A24,0))</f>
        <v>13.4219181999083</v>
      </c>
      <c r="D24" s="67" t="n">
        <f aca="false">IF(ISERROR(VLOOKUP(D$20,RawData,$A24,0)),0,VLOOKUP(D$20,RawData,$A24,0))</f>
        <v>90.3834337204179</v>
      </c>
      <c r="E24" s="67" t="n">
        <f aca="false">IF(ISERROR(VLOOKUP(E$20,RawData,$A24,0)),0,VLOOKUP(E$20,RawData,$A24,0))</f>
        <v>13.3571218649546</v>
      </c>
      <c r="F24" s="67" t="n">
        <f aca="false">IF(ISERROR(VLOOKUP(F$20,RawData,$A24,0)),0,VLOOKUP(F$20,RawData,$A24,0))</f>
        <v>94.6172602500156</v>
      </c>
      <c r="G24" s="67" t="n">
        <f aca="false">IF(ISERROR(VLOOKUP(G$20,RawData,$A24,0)),0,VLOOKUP(G$20,RawData,$A24,0))</f>
        <v>93.7953254304999</v>
      </c>
      <c r="H24" s="67" t="n">
        <f aca="false">IF(ISERROR(VLOOKUP(H$20,RawData,$A24,0)),0,VLOOKUP(H$20,RawData,$A24,0))</f>
        <v>92.7763482205855</v>
      </c>
      <c r="I24" s="67" t="n">
        <f aca="false">IF(ISERROR(VLOOKUP(I$20,RawData,$A24,0)),0,VLOOKUP(I$20,RawData,$A24,0))</f>
        <v>90.7908598746099</v>
      </c>
      <c r="J24" s="67" t="n">
        <f aca="false">IF(ISERROR(VLOOKUP(J$20,RawData,$A24,0)),0,VLOOKUP(J$20,RawData,$A24,0))</f>
        <v>91.9550793211202</v>
      </c>
      <c r="K24" s="67" t="n">
        <f aca="false">IF(ISERROR(VLOOKUP(K$20,RawData,$A24,0)),0,VLOOKUP(K$20,RawData,$A24,0))</f>
        <v>71.8741552947032</v>
      </c>
      <c r="L24" s="67" t="n">
        <f aca="false">IF(ISERROR(VLOOKUP(L$20,RawData,$A24,0)),0,VLOOKUP(L$20,RawData,$A24,0))</f>
        <v>1152.686725567</v>
      </c>
      <c r="M24" s="67" t="n">
        <f aca="false">IF(ISERROR(VLOOKUP(M$20,RawData,$A24,0)),0,VLOOKUP(M$20,RawData,$A24,0))</f>
        <v>1152.59191602113</v>
      </c>
      <c r="N24" s="67" t="n">
        <f aca="false">IF(ISERROR(VLOOKUP(N$20,RawData,$A24,0)),0,VLOOKUP(N$20,RawData,$A24,0))</f>
        <v>977.042301992486</v>
      </c>
      <c r="O24" s="67" t="n">
        <f aca="false">IF(ISERROR(VLOOKUP(O$20,RawData,$A24,0)),0,VLOOKUP(O$20,RawData,$A24,0))</f>
        <v>13.9586288300894</v>
      </c>
      <c r="P24" s="67" t="n">
        <f aca="false">IF(ISERROR(VLOOKUP(P$20,RawData,$A24,0)),0,VLOOKUP(P$20,RawData,$A24,0))</f>
        <v>978.056360050745</v>
      </c>
      <c r="Q24" s="67" t="n">
        <f aca="false">IF(ISERROR(VLOOKUP(Q$20,RawData,$A24,0)),0,VLOOKUP(Q$20,RawData,$A24,0))</f>
        <v>184.203363110942</v>
      </c>
      <c r="R24" s="67" t="n">
        <f aca="false">IF(ISERROR(VLOOKUP(R$20,RawData,$A24,0)),0,VLOOKUP(R$20,RawData,$A24,0))</f>
        <v>945.909429324571</v>
      </c>
      <c r="S24" s="67" t="n">
        <f aca="false">IF(ISERROR(VLOOKUP(S$20,RawData,$A24,0)),0,VLOOKUP(S$20,RawData,$A24,0))</f>
        <v>975.91517588566</v>
      </c>
      <c r="T24" s="67" t="n">
        <f aca="false">IF(ISERROR(VLOOKUP(T$20,RawData,$A24,0)),0,VLOOKUP(T$20,RawData,$A24,0))</f>
        <v>965.560787038263</v>
      </c>
      <c r="U24" s="67" t="n">
        <f aca="false">IF(ISERROR(VLOOKUP(U$20,RawData,$A24,0)),0,VLOOKUP(U$20,RawData,$A24,0))</f>
        <v>46.0765275391199</v>
      </c>
      <c r="V24" s="67" t="n">
        <f aca="false">IF(ISERROR(VLOOKUP(V$20,RawData,$A24,0)),0,VLOOKUP(V$20,RawData,$A24,0))</f>
        <v>989.166348175679</v>
      </c>
      <c r="W24" s="67" t="n">
        <f aca="false">IF(ISERROR(VLOOKUP(W$20,RawData,$A24,0)),0,VLOOKUP(W$20,RawData,$A24,0))</f>
        <v>1038.17373472406</v>
      </c>
      <c r="X24" s="67" t="n">
        <f aca="false">IF(ISERROR(VLOOKUP(X$20,RawData,$A24,0)),0,VLOOKUP(X$20,RawData,$A24,0))</f>
        <v>13.6736551548845</v>
      </c>
      <c r="Y24" s="67" t="n">
        <f aca="false">IF(ISERROR(VLOOKUP(Y$20,RawData,$A24,0)),0,VLOOKUP(Y$20,RawData,$A24,0))</f>
        <v>71.1374473111294</v>
      </c>
      <c r="Z24" s="67" t="n">
        <f aca="false">IF(ISERROR(VLOOKUP(Z$20,RawData,$A24,0)),0,VLOOKUP(Z$20,RawData,$A24,0))</f>
        <v>77.2879731657529</v>
      </c>
      <c r="AA24" s="67" t="n">
        <f aca="false">IF(ISERROR(VLOOKUP(AA$20,RawData,$A24,0)),0,VLOOKUP(AA$20,RawData,$A24,0))</f>
        <v>0</v>
      </c>
      <c r="AB24" s="67" t="n">
        <f aca="false">IF(ISERROR(VLOOKUP(AB$20,RawData,$A24,0)),0,VLOOKUP(AB$20,RawData,$A24,0))</f>
        <v>92.4391822175048</v>
      </c>
      <c r="AC24" s="67" t="n">
        <f aca="false">IF(ISERROR(VLOOKUP(AC$20,RawData,$A24,0)),0,VLOOKUP(AC$20,RawData,$A24,0))</f>
        <v>47.3303692212669</v>
      </c>
      <c r="AD24" s="67" t="n">
        <f aca="false">IF(ISERROR(VLOOKUP(AD$20,RawData,$A24,0)),0,VLOOKUP(AD$20,RawData,$A24,0))</f>
        <v>76.9074506929402</v>
      </c>
      <c r="AE24" s="67" t="n">
        <f aca="false">IF(ISERROR(VLOOKUP(AE$20,RawData,$A24,0)),0,VLOOKUP(AE$20,RawData,$A24,0))</f>
        <v>80.3037823893195</v>
      </c>
      <c r="AF24" s="67" t="n">
        <f aca="false">IF(ISERROR(VLOOKUP(AF$20,RawData,$A24,0)),0,VLOOKUP(AF$20,RawData,$A24,0))</f>
        <v>79.5285223220425</v>
      </c>
      <c r="AG24" s="67" t="n">
        <f aca="false">IF(ISERROR(VLOOKUP(AG$20,RawData,$A24,0)),0,VLOOKUP(AG$20,RawData,$A24,0))</f>
        <v>66.506085676504</v>
      </c>
      <c r="AH24" s="67" t="n">
        <f aca="false">IF(ISERROR(VLOOKUP(AH$20,RawData,$A24,0)),0,VLOOKUP(AH$20,RawData,$A24,0))</f>
        <v>69.6057037655324</v>
      </c>
      <c r="AI24" s="67" t="n">
        <f aca="false">IF(ISERROR(VLOOKUP(AI$20,RawData,$A24,0)),0,VLOOKUP(AI$20,RawData,$A24,0))</f>
        <v>86.9701735366163</v>
      </c>
      <c r="AJ24" s="67" t="n">
        <f aca="false">IF(ISERROR(VLOOKUP(AJ$20,RawData,$A24,0)),0,VLOOKUP(AJ$20,RawData,$A24,0))</f>
        <v>86.6335211499817</v>
      </c>
      <c r="AK24" s="67" t="n">
        <f aca="false">IF(ISERROR(VLOOKUP(AK$20,RawData,$A24,0)),0,VLOOKUP(AK$20,RawData,$A24,0))</f>
        <v>69.5052915715093</v>
      </c>
      <c r="AL24" s="67" t="n">
        <f aca="false">IF(ISERROR(VLOOKUP(AL$20,RawData,$A24,0)),0,VLOOKUP(AL$20,RawData,$A24,0))</f>
        <v>81.9916443128791</v>
      </c>
      <c r="AM24" s="67" t="n">
        <f aca="false">IF(ISERROR(VLOOKUP(AM$20,RawData,$A24,0)),0,VLOOKUP(AM$20,RawData,$A24,0))</f>
        <v>54.6667374019693</v>
      </c>
      <c r="AN24" s="67" t="n">
        <f aca="false">IF(ISERROR(VLOOKUP(AN$20,RawData,$A24,0)),0,VLOOKUP(AN$20,RawData,$A24,0))</f>
        <v>16.6846112499955</v>
      </c>
      <c r="AO24" s="67" t="n">
        <f aca="false">IF(ISERROR(VLOOKUP(AO$20,RawData,$A24,0)),0,VLOOKUP(AO$20,RawData,$A24,0))</f>
        <v>1072.10043367776</v>
      </c>
      <c r="AP24" s="67" t="n">
        <f aca="false">IF(ISERROR(VLOOKUP(AP$20,RawData,$A24,0)),0,VLOOKUP(AP$20,RawData,$A24,0))</f>
        <v>1072.8447571181</v>
      </c>
      <c r="AQ24" s="67" t="n">
        <f aca="false">IF(ISERROR(VLOOKUP(AQ$20,RawData,$A24,0)),0,VLOOKUP(AQ$20,RawData,$A24,0))</f>
        <v>973.057708345714</v>
      </c>
      <c r="AR24" s="67" t="n">
        <f aca="false">IF(ISERROR(VLOOKUP(AR$20,RawData,$A24,0)),0,VLOOKUP(AR$20,RawData,$A24,0))</f>
        <v>51.0619260629611</v>
      </c>
      <c r="AS24" s="67" t="n">
        <f aca="false">IF(ISERROR(VLOOKUP(AS$20,RawData,$A24,0)),0,VLOOKUP(AS$20,RawData,$A24,0))</f>
        <v>49.5570783675895</v>
      </c>
      <c r="AT24" s="67" t="n">
        <f aca="false">IF(ISERROR(VLOOKUP(AT$20,RawData,$A24,0)),0,VLOOKUP(AT$20,RawData,$A24,0))</f>
        <v>1081.55375682149</v>
      </c>
      <c r="AU24" s="67" t="n">
        <f aca="false">IF(ISERROR(VLOOKUP(AU$20,RawData,$A24,0)),0,VLOOKUP(AU$20,RawData,$A24,0))</f>
        <v>1010.776796584</v>
      </c>
      <c r="AV24" s="67" t="n">
        <f aca="false">IF(ISERROR(VLOOKUP(AV$20,RawData,$A24,0)),0,VLOOKUP(AV$20,RawData,$A24,0))</f>
        <v>1078.86716495236</v>
      </c>
      <c r="AW24" s="67" t="n">
        <f aca="false">IF(ISERROR(VLOOKUP(AW$20,RawData,$A24,0)),0,VLOOKUP(AW$20,RawData,$A24,0))</f>
        <v>13.0581845275817</v>
      </c>
      <c r="AX24" s="67" t="n">
        <f aca="false">IF(ISERROR(VLOOKUP(AX$20,RawData,$A24,0)),0,VLOOKUP(AX$20,RawData,$A24,0))</f>
        <v>76.7475360866855</v>
      </c>
      <c r="AY24" s="67" t="n">
        <f aca="false">IF(ISERROR(VLOOKUP(AY$20,RawData,$A24,0)),0,VLOOKUP(AY$20,RawData,$A24,0))</f>
        <v>60.0657130651393</v>
      </c>
      <c r="AZ24" s="67" t="n">
        <f aca="false">IF(ISERROR(VLOOKUP(AZ$20,RawData,$A24,0)),0,VLOOKUP(AZ$20,RawData,$A24,0))</f>
        <v>63.8645241642939</v>
      </c>
      <c r="BA24" s="67" t="n">
        <f aca="false">IF(ISERROR(VLOOKUP(BA$20,RawData,$A24,0)),0,VLOOKUP(BA$20,RawData,$A24,0))</f>
        <v>65.9651908970752</v>
      </c>
      <c r="BB24" s="67" t="n">
        <f aca="false">IF(ISERROR(VLOOKUP(BB$20,RawData,$A24,0)),0,VLOOKUP(BB$20,RawData,$A24,0))</f>
        <v>66.6407443036375</v>
      </c>
      <c r="BC24" s="67" t="n">
        <f aca="false">IF(ISERROR(VLOOKUP(BC$20,RawData,$A24,0)),0,VLOOKUP(BC$20,RawData,$A24,0))</f>
        <v>62.1874120252386</v>
      </c>
      <c r="BD24" s="67" t="n">
        <f aca="false">IF(ISERROR(VLOOKUP(BD$20,RawData,$A24,0)),0,VLOOKUP(BD$20,RawData,$A24,0))</f>
        <v>64.1920752716389</v>
      </c>
      <c r="BE24" s="67" t="n">
        <f aca="false">IF(ISERROR(VLOOKUP(BE$20,RawData,$A24,0)),0,VLOOKUP(BE$20,RawData,$A24,0))</f>
        <v>0</v>
      </c>
      <c r="BF24" s="67" t="n">
        <f aca="false">IF(ISERROR(VLOOKUP(BF$20,RawData,$A24,0)),0,VLOOKUP(BF$20,RawData,$A24,0))</f>
        <v>70.555804925251</v>
      </c>
      <c r="BG24" s="67" t="n">
        <f aca="false">IF(ISERROR(VLOOKUP(BG$20,RawData,$A24,0)),0,VLOOKUP(BG$20,RawData,$A24,0))</f>
        <v>60.6821671175185</v>
      </c>
      <c r="BH24" s="67" t="n">
        <f aca="false">IF(ISERROR(VLOOKUP(BH$20,RawData,$A24,0)),0,VLOOKUP(BH$20,RawData,$A24,0))</f>
        <v>97.7599473820053</v>
      </c>
      <c r="BI24" s="68" t="n">
        <f aca="false">IF(ISERROR(VLOOKUP(BI$20,RawData,$A24,0)),0,VLOOKUP(BI$20,RawData,$A24,0))</f>
        <v>0</v>
      </c>
      <c r="BJ24" s="49"/>
      <c r="BK24" s="49"/>
      <c r="BL24" s="49"/>
      <c r="BM24" s="49"/>
      <c r="BN24" s="49"/>
      <c r="BO24" s="49"/>
      <c r="BP24" s="49"/>
      <c r="BQ24" s="49"/>
      <c r="BR24" s="49"/>
      <c r="BS24" s="49"/>
      <c r="BT24" s="49"/>
      <c r="BU24" s="49"/>
      <c r="BV24" s="49"/>
      <c r="BW24" s="49"/>
      <c r="BX24" s="49"/>
      <c r="BY24" s="49"/>
      <c r="BZ24" s="49"/>
      <c r="CA24" s="49"/>
      <c r="CB24" s="49"/>
      <c r="CC24" s="49"/>
    </row>
    <row r="25" customFormat="false" ht="15.75" hidden="false" customHeight="true" outlineLevel="0" collapsed="false">
      <c r="A25" s="69" t="n">
        <v>6</v>
      </c>
      <c r="B25" s="70" t="n">
        <f aca="false">IF(ISERROR(VLOOKUP(B$20,RawData,$A25,0)),0,VLOOKUP(B$20,RawData,$A25,0))</f>
        <v>78.942673965167</v>
      </c>
      <c r="C25" s="71" t="n">
        <f aca="false">IF(ISERROR(VLOOKUP(C$20,RawData,$A25,0)),0,VLOOKUP(C$20,RawData,$A25,0))</f>
        <v>76.9571803154484</v>
      </c>
      <c r="D25" s="71" t="n">
        <f aca="false">IF(ISERROR(VLOOKUP(D$20,RawData,$A25,0)),0,VLOOKUP(D$20,RawData,$A25,0))</f>
        <v>77.1167436605302</v>
      </c>
      <c r="E25" s="71" t="n">
        <f aca="false">IF(ISERROR(VLOOKUP(E$20,RawData,$A25,0)),0,VLOOKUP(E$20,RawData,$A25,0))</f>
        <v>78.8065221078934</v>
      </c>
      <c r="F25" s="71" t="n">
        <f aca="false">IF(ISERROR(VLOOKUP(F$20,RawData,$A25,0)),0,VLOOKUP(F$20,RawData,$A25,0))</f>
        <v>81.4497945849687</v>
      </c>
      <c r="G25" s="71" t="n">
        <f aca="false">IF(ISERROR(VLOOKUP(G$20,RawData,$A25,0)),0,VLOOKUP(G$20,RawData,$A25,0))</f>
        <v>80.6438741754455</v>
      </c>
      <c r="H25" s="71" t="n">
        <f aca="false">IF(ISERROR(VLOOKUP(H$20,RawData,$A25,0)),0,VLOOKUP(H$20,RawData,$A25,0))</f>
        <v>75.0075733104629</v>
      </c>
      <c r="I25" s="71" t="n">
        <f aca="false">IF(ISERROR(VLOOKUP(I$20,RawData,$A25,0)),0,VLOOKUP(I$20,RawData,$A25,0))</f>
        <v>75.4517805073168</v>
      </c>
      <c r="J25" s="71" t="n">
        <f aca="false">IF(ISERROR(VLOOKUP(J$20,RawData,$A25,0)),0,VLOOKUP(J$20,RawData,$A25,0))</f>
        <v>79.9335406297994</v>
      </c>
      <c r="K25" s="71" t="n">
        <f aca="false">IF(ISERROR(VLOOKUP(K$20,RawData,$A25,0)),0,VLOOKUP(K$20,RawData,$A25,0))</f>
        <v>87.6852171364913</v>
      </c>
      <c r="L25" s="71" t="n">
        <f aca="false">IF(ISERROR(VLOOKUP(L$20,RawData,$A25,0)),0,VLOOKUP(L$20,RawData,$A25,0))</f>
        <v>103.958267604457</v>
      </c>
      <c r="M25" s="71" t="n">
        <f aca="false">IF(ISERROR(VLOOKUP(M$20,RawData,$A25,0)),0,VLOOKUP(M$20,RawData,$A25,0))</f>
        <v>103.970331203093</v>
      </c>
      <c r="N25" s="71" t="n">
        <f aca="false">IF(ISERROR(VLOOKUP(N$20,RawData,$A25,0)),0,VLOOKUP(N$20,RawData,$A25,0))</f>
        <v>95.8978307126668</v>
      </c>
      <c r="O25" s="71" t="n">
        <f aca="false">IF(ISERROR(VLOOKUP(O$20,RawData,$A25,0)),0,VLOOKUP(O$20,RawData,$A25,0))</f>
        <v>77.4445861539533</v>
      </c>
      <c r="P25" s="71" t="n">
        <f aca="false">IF(ISERROR(VLOOKUP(P$20,RawData,$A25,0)),0,VLOOKUP(P$20,RawData,$A25,0))</f>
        <v>98.7163792291282</v>
      </c>
      <c r="Q25" s="71" t="n">
        <f aca="false">IF(ISERROR(VLOOKUP(Q$20,RawData,$A25,0)),0,VLOOKUP(Q$20,RawData,$A25,0))</f>
        <v>77.8166707818226</v>
      </c>
      <c r="R25" s="71" t="n">
        <f aca="false">IF(ISERROR(VLOOKUP(R$20,RawData,$A25,0)),0,VLOOKUP(R$20,RawData,$A25,0))</f>
        <v>76.9860555382185</v>
      </c>
      <c r="S25" s="71" t="n">
        <f aca="false">IF(ISERROR(VLOOKUP(S$20,RawData,$A25,0)),0,VLOOKUP(S$20,RawData,$A25,0))</f>
        <v>74.9318121595437</v>
      </c>
      <c r="T25" s="71" t="n">
        <f aca="false">IF(ISERROR(VLOOKUP(T$20,RawData,$A25,0)),0,VLOOKUP(T$20,RawData,$A25,0))</f>
        <v>97.7972614856566</v>
      </c>
      <c r="U25" s="71" t="n">
        <f aca="false">IF(ISERROR(VLOOKUP(U$20,RawData,$A25,0)),0,VLOOKUP(U$20,RawData,$A25,0))</f>
        <v>105.669454554076</v>
      </c>
      <c r="V25" s="71" t="n">
        <f aca="false">IF(ISERROR(VLOOKUP(V$20,RawData,$A25,0)),0,VLOOKUP(V$20,RawData,$A25,0))</f>
        <v>94.4882714358941</v>
      </c>
      <c r="W25" s="71" t="n">
        <f aca="false">IF(ISERROR(VLOOKUP(W$20,RawData,$A25,0)),0,VLOOKUP(W$20,RawData,$A25,0))</f>
        <v>87.138526581894</v>
      </c>
      <c r="X25" s="71" t="n">
        <f aca="false">IF(ISERROR(VLOOKUP(X$20,RawData,$A25,0)),0,VLOOKUP(X$20,RawData,$A25,0))</f>
        <v>79.194365978241</v>
      </c>
      <c r="Y25" s="71" t="n">
        <f aca="false">IF(ISERROR(VLOOKUP(Y$20,RawData,$A25,0)),0,VLOOKUP(Y$20,RawData,$A25,0))</f>
        <v>79.980892128898</v>
      </c>
      <c r="Z25" s="71" t="n">
        <f aca="false">IF(ISERROR(VLOOKUP(Z$20,RawData,$A25,0)),0,VLOOKUP(Z$20,RawData,$A25,0))</f>
        <v>90.7630518904569</v>
      </c>
      <c r="AA25" s="71" t="n">
        <f aca="false">IF(ISERROR(VLOOKUP(AA$20,RawData,$A25,0)),0,VLOOKUP(AA$20,RawData,$A25,0))</f>
        <v>0</v>
      </c>
      <c r="AB25" s="71" t="n">
        <f aca="false">IF(ISERROR(VLOOKUP(AB$20,RawData,$A25,0)),0,VLOOKUP(AB$20,RawData,$A25,0))</f>
        <v>93.1365001657748</v>
      </c>
      <c r="AC25" s="71" t="n">
        <f aca="false">IF(ISERROR(VLOOKUP(AC$20,RawData,$A25,0)),0,VLOOKUP(AC$20,RawData,$A25,0))</f>
        <v>82.1364990203612</v>
      </c>
      <c r="AD25" s="71" t="n">
        <f aca="false">IF(ISERROR(VLOOKUP(AD$20,RawData,$A25,0)),0,VLOOKUP(AD$20,RawData,$A25,0))</f>
        <v>87.6471195839257</v>
      </c>
      <c r="AE25" s="71" t="n">
        <f aca="false">IF(ISERROR(VLOOKUP(AE$20,RawData,$A25,0)),0,VLOOKUP(AE$20,RawData,$A25,0))</f>
        <v>95.1078334775595</v>
      </c>
      <c r="AF25" s="71" t="n">
        <f aca="false">IF(ISERROR(VLOOKUP(AF$20,RawData,$A25,0)),0,VLOOKUP(AF$20,RawData,$A25,0))</f>
        <v>87.8186506354005</v>
      </c>
      <c r="AG25" s="71" t="n">
        <f aca="false">IF(ISERROR(VLOOKUP(AG$20,RawData,$A25,0)),0,VLOOKUP(AG$20,RawData,$A25,0))</f>
        <v>93.7986342383159</v>
      </c>
      <c r="AH25" s="71" t="n">
        <f aca="false">IF(ISERROR(VLOOKUP(AH$20,RawData,$A25,0)),0,VLOOKUP(AH$20,RawData,$A25,0))</f>
        <v>74.5389554167065</v>
      </c>
      <c r="AI25" s="71" t="n">
        <f aca="false">IF(ISERROR(VLOOKUP(AI$20,RawData,$A25,0)),0,VLOOKUP(AI$20,RawData,$A25,0))</f>
        <v>94.5263672644228</v>
      </c>
      <c r="AJ25" s="71" t="n">
        <f aca="false">IF(ISERROR(VLOOKUP(AJ$20,RawData,$A25,0)),0,VLOOKUP(AJ$20,RawData,$A25,0))</f>
        <v>94.319810597109</v>
      </c>
      <c r="AK25" s="71" t="n">
        <f aca="false">IF(ISERROR(VLOOKUP(AK$20,RawData,$A25,0)),0,VLOOKUP(AK$20,RawData,$A25,0))</f>
        <v>73.0207136120128</v>
      </c>
      <c r="AL25" s="71" t="n">
        <f aca="false">IF(ISERROR(VLOOKUP(AL$20,RawData,$A25,0)),0,VLOOKUP(AL$20,RawData,$A25,0))</f>
        <v>88.0177497623365</v>
      </c>
      <c r="AM25" s="71" t="n">
        <f aca="false">IF(ISERROR(VLOOKUP(AM$20,RawData,$A25,0)),0,VLOOKUP(AM$20,RawData,$A25,0))</f>
        <v>83.7578652637491</v>
      </c>
      <c r="AN25" s="71" t="n">
        <f aca="false">IF(ISERROR(VLOOKUP(AN$20,RawData,$A25,0)),0,VLOOKUP(AN$20,RawData,$A25,0))</f>
        <v>75.0433518040565</v>
      </c>
      <c r="AO25" s="71" t="n">
        <f aca="false">IF(ISERROR(VLOOKUP(AO$20,RawData,$A25,0)),0,VLOOKUP(AO$20,RawData,$A25,0))</f>
        <v>80.4026728855666</v>
      </c>
      <c r="AP25" s="71" t="n">
        <f aca="false">IF(ISERROR(VLOOKUP(AP$20,RawData,$A25,0)),0,VLOOKUP(AP$20,RawData,$A25,0))</f>
        <v>87.6964028917184</v>
      </c>
      <c r="AQ25" s="71" t="n">
        <f aca="false">IF(ISERROR(VLOOKUP(AQ$20,RawData,$A25,0)),0,VLOOKUP(AQ$20,RawData,$A25,0))</f>
        <v>91.995710297439</v>
      </c>
      <c r="AR25" s="71" t="n">
        <f aca="false">IF(ISERROR(VLOOKUP(AR$20,RawData,$A25,0)),0,VLOOKUP(AR$20,RawData,$A25,0))</f>
        <v>82.8667216876883</v>
      </c>
      <c r="AS25" s="71" t="n">
        <f aca="false">IF(ISERROR(VLOOKUP(AS$20,RawData,$A25,0)),0,VLOOKUP(AS$20,RawData,$A25,0))</f>
        <v>85.566671841253</v>
      </c>
      <c r="AT25" s="71" t="n">
        <f aca="false">IF(ISERROR(VLOOKUP(AT$20,RawData,$A25,0)),0,VLOOKUP(AT$20,RawData,$A25,0))</f>
        <v>103.890276618182</v>
      </c>
      <c r="AU25" s="71" t="n">
        <f aca="false">IF(ISERROR(VLOOKUP(AU$20,RawData,$A25,0)),0,VLOOKUP(AU$20,RawData,$A25,0))</f>
        <v>85.8545616006886</v>
      </c>
      <c r="AV25" s="71" t="n">
        <f aca="false">IF(ISERROR(VLOOKUP(AV$20,RawData,$A25,0)),0,VLOOKUP(AV$20,RawData,$A25,0))</f>
        <v>102.10348821627</v>
      </c>
      <c r="AW25" s="71" t="n">
        <f aca="false">IF(ISERROR(VLOOKUP(AW$20,RawData,$A25,0)),0,VLOOKUP(AW$20,RawData,$A25,0))</f>
        <v>79.8914801741159</v>
      </c>
      <c r="AX25" s="71" t="n">
        <f aca="false">IF(ISERROR(VLOOKUP(AX$20,RawData,$A25,0)),0,VLOOKUP(AX$20,RawData,$A25,0))</f>
        <v>81.8026421480001</v>
      </c>
      <c r="AY25" s="71" t="n">
        <f aca="false">IF(ISERROR(VLOOKUP(AY$20,RawData,$A25,0)),0,VLOOKUP(AY$20,RawData,$A25,0))</f>
        <v>86.4286313256076</v>
      </c>
      <c r="AZ25" s="71" t="n">
        <f aca="false">IF(ISERROR(VLOOKUP(AZ$20,RawData,$A25,0)),0,VLOOKUP(AZ$20,RawData,$A25,0))</f>
        <v>90.353664943909</v>
      </c>
      <c r="BA25" s="71" t="n">
        <f aca="false">IF(ISERROR(VLOOKUP(BA$20,RawData,$A25,0)),0,VLOOKUP(BA$20,RawData,$A25,0))</f>
        <v>102.01060011026</v>
      </c>
      <c r="BB25" s="71" t="n">
        <f aca="false">IF(ISERROR(VLOOKUP(BB$20,RawData,$A25,0)),0,VLOOKUP(BB$20,RawData,$A25,0))</f>
        <v>80.2689928116755</v>
      </c>
      <c r="BC25" s="71" t="n">
        <f aca="false">IF(ISERROR(VLOOKUP(BC$20,RawData,$A25,0)),0,VLOOKUP(BC$20,RawData,$A25,0))</f>
        <v>86.1468728699175</v>
      </c>
      <c r="BD25" s="71" t="n">
        <f aca="false">IF(ISERROR(VLOOKUP(BD$20,RawData,$A25,0)),0,VLOOKUP(BD$20,RawData,$A25,0))</f>
        <v>99.6528658427098</v>
      </c>
      <c r="BE25" s="71" t="n">
        <f aca="false">IF(ISERROR(VLOOKUP(BE$20,RawData,$A25,0)),0,VLOOKUP(BE$20,RawData,$A25,0))</f>
        <v>0</v>
      </c>
      <c r="BF25" s="71" t="n">
        <f aca="false">IF(ISERROR(VLOOKUP(BF$20,RawData,$A25,0)),0,VLOOKUP(BF$20,RawData,$A25,0))</f>
        <v>84.839565504966</v>
      </c>
      <c r="BG25" s="71" t="n">
        <f aca="false">IF(ISERROR(VLOOKUP(BG$20,RawData,$A25,0)),0,VLOOKUP(BG$20,RawData,$A25,0))</f>
        <v>87.1977908454652</v>
      </c>
      <c r="BH25" s="71" t="n">
        <f aca="false">IF(ISERROR(VLOOKUP(BH$20,RawData,$A25,0)),0,VLOOKUP(BH$20,RawData,$A25,0))</f>
        <v>115.991547780407</v>
      </c>
      <c r="BI25" s="72" t="n">
        <f aca="false">IF(ISERROR(VLOOKUP(BI$20,RawData,$A25,0)),0,VLOOKUP(BI$20,RawData,$A25,0))</f>
        <v>0</v>
      </c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49"/>
      <c r="CA25" s="49"/>
      <c r="CB25" s="49"/>
      <c r="CC25" s="49"/>
    </row>
    <row r="26" customFormat="false" ht="15.75" hidden="false" customHeight="true" outlineLevel="0" collapsed="false">
      <c r="A26" s="73" t="n">
        <v>7</v>
      </c>
      <c r="B26" s="74" t="n">
        <f aca="false">IF(ISERROR(VLOOKUP(B$20,RawData,$A26,0)),0,VLOOKUP(B$20,RawData,$A26,0))</f>
        <v>0.173</v>
      </c>
      <c r="C26" s="75" t="n">
        <f aca="false">IF(ISERROR(VLOOKUP(C$20,RawData,$A26,0)),0,VLOOKUP(C$20,RawData,$A26,0))</f>
        <v>0.1581</v>
      </c>
      <c r="D26" s="75" t="n">
        <f aca="false">IF(ISERROR(VLOOKUP(D$20,RawData,$A26,0)),0,VLOOKUP(D$20,RawData,$A26,0))</f>
        <v>0.094</v>
      </c>
      <c r="E26" s="75" t="n">
        <f aca="false">IF(ISERROR(VLOOKUP(E$20,RawData,$A26,0)),0,VLOOKUP(E$20,RawData,$A26,0))</f>
        <v>0.075</v>
      </c>
      <c r="F26" s="75" t="n">
        <f aca="false">IF(ISERROR(VLOOKUP(F$20,RawData,$A26,0)),0,VLOOKUP(F$20,RawData,$A26,0))</f>
        <v>0.116</v>
      </c>
      <c r="G26" s="75" t="n">
        <f aca="false">IF(ISERROR(VLOOKUP(G$20,RawData,$A26,0)),0,VLOOKUP(G$20,RawData,$A26,0))</f>
        <v>0.106</v>
      </c>
      <c r="H26" s="75" t="n">
        <f aca="false">IF(ISERROR(VLOOKUP(H$20,RawData,$A26,0)),0,VLOOKUP(H$20,RawData,$A26,0))</f>
        <v>0.103</v>
      </c>
      <c r="I26" s="75" t="n">
        <f aca="false">IF(ISERROR(VLOOKUP(I$20,RawData,$A26,0)),0,VLOOKUP(I$20,RawData,$A26,0))</f>
        <v>0.063</v>
      </c>
      <c r="J26" s="75" t="n">
        <f aca="false">IF(ISERROR(VLOOKUP(J$20,RawData,$A26,0)),0,VLOOKUP(J$20,RawData,$A26,0))</f>
        <v>0.125</v>
      </c>
      <c r="K26" s="75" t="n">
        <f aca="false">IF(ISERROR(VLOOKUP(K$20,RawData,$A26,0)),0,VLOOKUP(K$20,RawData,$A26,0))</f>
        <v>0.106</v>
      </c>
      <c r="L26" s="75" t="n">
        <f aca="false">IF(ISERROR(VLOOKUP(L$20,RawData,$A26,0)),0,VLOOKUP(L$20,RawData,$A26,0))</f>
        <v>0.815046438899443</v>
      </c>
      <c r="M26" s="75" t="n">
        <f aca="false">IF(ISERROR(VLOOKUP(M$20,RawData,$A26,0)),0,VLOOKUP(M$20,RawData,$A26,0))</f>
        <v>0.815284680039878</v>
      </c>
      <c r="N26" s="75" t="n">
        <f aca="false">IF(ISERROR(VLOOKUP(N$20,RawData,$A26,0)),0,VLOOKUP(N$20,RawData,$A26,0))</f>
        <v>0.0159192614542988</v>
      </c>
      <c r="O26" s="75" t="n">
        <f aca="false">IF(ISERROR(VLOOKUP(O$20,RawData,$A26,0)),0,VLOOKUP(O$20,RawData,$A26,0))</f>
        <v>0.0158747460440262</v>
      </c>
      <c r="P26" s="75" t="n">
        <f aca="false">IF(ISERROR(VLOOKUP(P$20,RawData,$A26,0)),0,VLOOKUP(P$20,RawData,$A26,0))</f>
        <v>0.00978614999412378</v>
      </c>
      <c r="Q26" s="75" t="n">
        <f aca="false">IF(ISERROR(VLOOKUP(Q$20,RawData,$A26,0)),0,VLOOKUP(Q$20,RawData,$A26,0))</f>
        <v>0.11259999871254</v>
      </c>
      <c r="R26" s="75" t="n">
        <f aca="false">IF(ISERROR(VLOOKUP(R$20,RawData,$A26,0)),0,VLOOKUP(R$20,RawData,$A26,0))</f>
        <v>0.359</v>
      </c>
      <c r="S26" s="75" t="n">
        <f aca="false">IF(ISERROR(VLOOKUP(S$20,RawData,$A26,0)),0,VLOOKUP(S$20,RawData,$A26,0))</f>
        <v>0.359</v>
      </c>
      <c r="T26" s="75" t="n">
        <f aca="false">IF(ISERROR(VLOOKUP(T$20,RawData,$A26,0)),0,VLOOKUP(T$20,RawData,$A26,0))</f>
        <v>0.00510418212034034</v>
      </c>
      <c r="U26" s="75" t="n">
        <f aca="false">IF(ISERROR(VLOOKUP(U$20,RawData,$A26,0)),0,VLOOKUP(U$20,RawData,$A26,0))</f>
        <v>0.0104920869807463</v>
      </c>
      <c r="V26" s="75" t="n">
        <f aca="false">IF(ISERROR(VLOOKUP(V$20,RawData,$A26,0)),0,VLOOKUP(V$20,RawData,$A26,0))</f>
        <v>0.099279756712626</v>
      </c>
      <c r="W26" s="75" t="n">
        <f aca="false">IF(ISERROR(VLOOKUP(W$20,RawData,$A26,0)),0,VLOOKUP(W$20,RawData,$A26,0))</f>
        <v>2.372</v>
      </c>
      <c r="X26" s="75" t="n">
        <f aca="false">IF(ISERROR(VLOOKUP(X$20,RawData,$A26,0)),0,VLOOKUP(X$20,RawData,$A26,0))</f>
        <v>0.176</v>
      </c>
      <c r="Y26" s="75" t="n">
        <f aca="false">IF(ISERROR(VLOOKUP(Y$20,RawData,$A26,0)),0,VLOOKUP(Y$20,RawData,$A26,0))</f>
        <v>0.259</v>
      </c>
      <c r="Z26" s="75" t="n">
        <f aca="false">IF(ISERROR(VLOOKUP(Z$20,RawData,$A26,0)),0,VLOOKUP(Z$20,RawData,$A26,0))</f>
        <v>0.321</v>
      </c>
      <c r="AA26" s="75" t="n">
        <f aca="false">IF(ISERROR(VLOOKUP(AA$20,RawData,$A26,0)),0,VLOOKUP(AA$20,RawData,$A26,0))</f>
        <v>0</v>
      </c>
      <c r="AB26" s="75" t="n">
        <f aca="false">IF(ISERROR(VLOOKUP(AB$20,RawData,$A26,0)),0,VLOOKUP(AB$20,RawData,$A26,0))</f>
        <v>0.145</v>
      </c>
      <c r="AC26" s="75" t="n">
        <f aca="false">IF(ISERROR(VLOOKUP(AC$20,RawData,$A26,0)),0,VLOOKUP(AC$20,RawData,$A26,0))</f>
        <v>0.101</v>
      </c>
      <c r="AD26" s="75" t="n">
        <f aca="false">IF(ISERROR(VLOOKUP(AD$20,RawData,$A26,0)),0,VLOOKUP(AD$20,RawData,$A26,0))</f>
        <v>1.552</v>
      </c>
      <c r="AE26" s="75" t="n">
        <f aca="false">IF(ISERROR(VLOOKUP(AE$20,RawData,$A26,0)),0,VLOOKUP(AE$20,RawData,$A26,0))</f>
        <v>0.41</v>
      </c>
      <c r="AF26" s="75" t="n">
        <f aca="false">IF(ISERROR(VLOOKUP(AF$20,RawData,$A26,0)),0,VLOOKUP(AF$20,RawData,$A26,0))</f>
        <v>0.149</v>
      </c>
      <c r="AG26" s="75" t="n">
        <f aca="false">IF(ISERROR(VLOOKUP(AG$20,RawData,$A26,0)),0,VLOOKUP(AG$20,RawData,$A26,0))</f>
        <v>0.087</v>
      </c>
      <c r="AH26" s="75" t="n">
        <f aca="false">IF(ISERROR(VLOOKUP(AH$20,RawData,$A26,0)),0,VLOOKUP(AH$20,RawData,$A26,0))</f>
        <v>0.212</v>
      </c>
      <c r="AI26" s="75" t="n">
        <f aca="false">IF(ISERROR(VLOOKUP(AI$20,RawData,$A26,0)),0,VLOOKUP(AI$20,RawData,$A26,0))</f>
        <v>0.165</v>
      </c>
      <c r="AJ26" s="75" t="n">
        <f aca="false">IF(ISERROR(VLOOKUP(AJ$20,RawData,$A26,0)),0,VLOOKUP(AJ$20,RawData,$A26,0))</f>
        <v>0.165</v>
      </c>
      <c r="AK26" s="75" t="n">
        <f aca="false">IF(ISERROR(VLOOKUP(AK$20,RawData,$A26,0)),0,VLOOKUP(AK$20,RawData,$A26,0))</f>
        <v>0.109</v>
      </c>
      <c r="AL26" s="75" t="n">
        <f aca="false">IF(ISERROR(VLOOKUP(AL$20,RawData,$A26,0)),0,VLOOKUP(AL$20,RawData,$A26,0))</f>
        <v>0.179</v>
      </c>
      <c r="AM26" s="75" t="n">
        <f aca="false">IF(ISERROR(VLOOKUP(AM$20,RawData,$A26,0)),0,VLOOKUP(AM$20,RawData,$A26,0))</f>
        <v>0.096</v>
      </c>
      <c r="AN26" s="75" t="n">
        <f aca="false">IF(ISERROR(VLOOKUP(AN$20,RawData,$A26,0)),0,VLOOKUP(AN$20,RawData,$A26,0))</f>
        <v>0.132</v>
      </c>
      <c r="AO26" s="75" t="n">
        <f aca="false">IF(ISERROR(VLOOKUP(AO$20,RawData,$A26,0)),0,VLOOKUP(AO$20,RawData,$A26,0))</f>
        <v>0.18</v>
      </c>
      <c r="AP26" s="75" t="n">
        <f aca="false">IF(ISERROR(VLOOKUP(AP$20,RawData,$A26,0)),0,VLOOKUP(AP$20,RawData,$A26,0))</f>
        <v>0.18</v>
      </c>
      <c r="AQ26" s="75" t="n">
        <f aca="false">IF(ISERROR(VLOOKUP(AQ$20,RawData,$A26,0)),0,VLOOKUP(AQ$20,RawData,$A26,0))</f>
        <v>0.419</v>
      </c>
      <c r="AR26" s="75" t="n">
        <f aca="false">IF(ISERROR(VLOOKUP(AR$20,RawData,$A26,0)),0,VLOOKUP(AR$20,RawData,$A26,0))</f>
        <v>0.226</v>
      </c>
      <c r="AS26" s="76" t="n">
        <f aca="false">IF(ISERROR(VLOOKUP(AS$20,RawData,$A26,0)),0,VLOOKUP(AS$20,RawData,$A26,0))</f>
        <v>0.121</v>
      </c>
      <c r="AT26" s="76" t="n">
        <f aca="false">IF(ISERROR(VLOOKUP(AT$20,RawData,$A26,0)),0,VLOOKUP(AT$20,RawData,$A26,0))</f>
        <v>0.182</v>
      </c>
      <c r="AU26" s="76" t="n">
        <f aca="false">IF(ISERROR(VLOOKUP(AU$20,RawData,$A26,0)),0,VLOOKUP(AU$20,RawData,$A26,0))</f>
        <v>0.412</v>
      </c>
      <c r="AV26" s="76" t="n">
        <f aca="false">IF(ISERROR(VLOOKUP(AV$20,RawData,$A26,0)),0,VLOOKUP(AV$20,RawData,$A26,0))</f>
        <v>0.714</v>
      </c>
      <c r="AW26" s="76" t="n">
        <f aca="false">IF(ISERROR(VLOOKUP(AW$20,RawData,$A26,0)),0,VLOOKUP(AW$20,RawData,$A26,0))</f>
        <v>0</v>
      </c>
      <c r="AX26" s="76" t="n">
        <f aca="false">IF(ISERROR(VLOOKUP(AX$20,RawData,$A26,0)),0,VLOOKUP(AX$20,RawData,$A26,0))</f>
        <v>1.455</v>
      </c>
      <c r="AY26" s="76" t="n">
        <f aca="false">IF(ISERROR(VLOOKUP(AY$20,RawData,$A26,0)),0,VLOOKUP(AY$20,RawData,$A26,0))</f>
        <v>0.35</v>
      </c>
      <c r="AZ26" s="76" t="n">
        <f aca="false">IF(ISERROR(VLOOKUP(AZ$20,RawData,$A26,0)),0,VLOOKUP(AZ$20,RawData,$A26,0))</f>
        <v>0.386</v>
      </c>
      <c r="BA26" s="76" t="n">
        <f aca="false">IF(ISERROR(VLOOKUP(BA$20,RawData,$A26,0)),0,VLOOKUP(BA$20,RawData,$A26,0))</f>
        <v>0.452</v>
      </c>
      <c r="BB26" s="76" t="n">
        <f aca="false">IF(ISERROR(VLOOKUP(BB$20,RawData,$A26,0)),0,VLOOKUP(BB$20,RawData,$A26,0))</f>
        <v>0.67</v>
      </c>
      <c r="BC26" s="76" t="n">
        <f aca="false">IF(ISERROR(VLOOKUP(BC$20,RawData,$A26,0)),0,VLOOKUP(BC$20,RawData,$A26,0))</f>
        <v>0.674</v>
      </c>
      <c r="BD26" s="76" t="n">
        <f aca="false">IF(ISERROR(VLOOKUP(BD$20,RawData,$A26,0)),0,VLOOKUP(BD$20,RawData,$A26,0))</f>
        <v>0.231</v>
      </c>
      <c r="BE26" s="76" t="n">
        <f aca="false">IF(ISERROR(VLOOKUP(BE$20,RawData,$A26,0)),0,VLOOKUP(BE$20,RawData,$A26,0))</f>
        <v>0</v>
      </c>
      <c r="BF26" s="76" t="n">
        <f aca="false">IF(ISERROR(VLOOKUP(BF$20,RawData,$A26,0)),0,VLOOKUP(BF$20,RawData,$A26,0))</f>
        <v>0.117</v>
      </c>
      <c r="BG26" s="76" t="n">
        <f aca="false">IF(ISERROR(VLOOKUP(BG$20,RawData,$A26,0)),0,VLOOKUP(BG$20,RawData,$A26,0))</f>
        <v>0.534</v>
      </c>
      <c r="BH26" s="76" t="n">
        <f aca="false">IF(ISERROR(VLOOKUP(BH$20,RawData,$A26,0)),0,VLOOKUP(BH$20,RawData,$A26,0))</f>
        <v>0.085</v>
      </c>
      <c r="BI26" s="77" t="n">
        <f aca="false">IF(ISERROR(VLOOKUP(BI$20,RawData,$A26,0)),0,VLOOKUP(BI$20,RawData,$A26,0))</f>
        <v>0</v>
      </c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</row>
    <row r="27" customFormat="false" ht="15.75" hidden="false" customHeight="true" outlineLevel="0" collapsed="false">
      <c r="A27" s="78" t="n">
        <v>8</v>
      </c>
      <c r="B27" s="79" t="n">
        <f aca="false">IF(ISERROR(VLOOKUP(B$20,RawData,$A27,0)),0,VLOOKUP(B$20,RawData,$A27,0))</f>
        <v>0.583</v>
      </c>
      <c r="C27" s="80" t="n">
        <f aca="false">IF(ISERROR(VLOOKUP(C$20,RawData,$A27,0)),0,VLOOKUP(C$20,RawData,$A27,0))</f>
        <v>2.7207</v>
      </c>
      <c r="D27" s="80" t="n">
        <f aca="false">IF(ISERROR(VLOOKUP(D$20,RawData,$A27,0)),0,VLOOKUP(D$20,RawData,$A27,0))</f>
        <v>0.589</v>
      </c>
      <c r="E27" s="80" t="n">
        <f aca="false">IF(ISERROR(VLOOKUP(E$20,RawData,$A27,0)),0,VLOOKUP(E$20,RawData,$A27,0))</f>
        <v>0.598</v>
      </c>
      <c r="F27" s="80" t="n">
        <f aca="false">IF(ISERROR(VLOOKUP(F$20,RawData,$A27,0)),0,VLOOKUP(F$20,RawData,$A27,0))</f>
        <v>0.607</v>
      </c>
      <c r="G27" s="80" t="n">
        <f aca="false">IF(ISERROR(VLOOKUP(G$20,RawData,$A27,0)),0,VLOOKUP(G$20,RawData,$A27,0))</f>
        <v>0.649</v>
      </c>
      <c r="H27" s="80" t="n">
        <f aca="false">IF(ISERROR(VLOOKUP(H$20,RawData,$A27,0)),0,VLOOKUP(H$20,RawData,$A27,0))</f>
        <v>0.585</v>
      </c>
      <c r="I27" s="80" t="n">
        <f aca="false">IF(ISERROR(VLOOKUP(I$20,RawData,$A27,0)),0,VLOOKUP(I$20,RawData,$A27,0))</f>
        <v>1.904</v>
      </c>
      <c r="J27" s="80" t="n">
        <f aca="false">IF(ISERROR(VLOOKUP(J$20,RawData,$A27,0)),0,VLOOKUP(J$20,RawData,$A27,0))</f>
        <v>0.582</v>
      </c>
      <c r="K27" s="80" t="n">
        <f aca="false">IF(ISERROR(VLOOKUP(K$20,RawData,$A27,0)),0,VLOOKUP(K$20,RawData,$A27,0))</f>
        <v>0.929</v>
      </c>
      <c r="L27" s="80" t="n">
        <f aca="false">IF(ISERROR(VLOOKUP(L$20,RawData,$A27,0)),0,VLOOKUP(L$20,RawData,$A27,0))</f>
        <v>1.09182948492832</v>
      </c>
      <c r="M27" s="80" t="n">
        <f aca="false">IF(ISERROR(VLOOKUP(M$20,RawData,$A27,0)),0,VLOOKUP(M$20,RawData,$A27,0))</f>
        <v>1.0917341115764</v>
      </c>
      <c r="N27" s="80" t="n">
        <f aca="false">IF(ISERROR(VLOOKUP(N$20,RawData,$A27,0)),0,VLOOKUP(N$20,RawData,$A27,0))</f>
        <v>0.605452788952156</v>
      </c>
      <c r="O27" s="80" t="n">
        <f aca="false">IF(ISERROR(VLOOKUP(O$20,RawData,$A27,0)),0,VLOOKUP(O$20,RawData,$A27,0))</f>
        <v>0.605738110039183</v>
      </c>
      <c r="P27" s="80" t="n">
        <f aca="false">IF(ISERROR(VLOOKUP(P$20,RawData,$A27,0)),0,VLOOKUP(P$20,RawData,$A27,0))</f>
        <v>0.589076111622202</v>
      </c>
      <c r="Q27" s="80" t="n">
        <f aca="false">IF(ISERROR(VLOOKUP(Q$20,RawData,$A27,0)),0,VLOOKUP(Q$20,RawData,$A27,0))</f>
        <v>0.621500015258789</v>
      </c>
      <c r="R27" s="80" t="n">
        <f aca="false">IF(ISERROR(VLOOKUP(R$20,RawData,$A27,0)),0,VLOOKUP(R$20,RawData,$A27,0))</f>
        <v>0.847000000000001</v>
      </c>
      <c r="S27" s="80" t="n">
        <f aca="false">IF(ISERROR(VLOOKUP(S$20,RawData,$A27,0)),0,VLOOKUP(S$20,RawData,$A27,0))</f>
        <v>0.847</v>
      </c>
      <c r="T27" s="80" t="n">
        <f aca="false">IF(ISERROR(VLOOKUP(T$20,RawData,$A27,0)),0,VLOOKUP(T$20,RawData,$A27,0))</f>
        <v>0.594280508772907</v>
      </c>
      <c r="U27" s="80" t="n">
        <f aca="false">IF(ISERROR(VLOOKUP(U$20,RawData,$A27,0)),0,VLOOKUP(U$20,RawData,$A27,0))</f>
        <v>0.593050870203203</v>
      </c>
      <c r="V27" s="80" t="n">
        <f aca="false">IF(ISERROR(VLOOKUP(V$20,RawData,$A27,0)),0,VLOOKUP(V$20,RawData,$A27,0))</f>
        <v>0.602165263373735</v>
      </c>
      <c r="W27" s="80" t="n">
        <f aca="false">IF(ISERROR(VLOOKUP(W$20,RawData,$A27,0)),0,VLOOKUP(W$20,RawData,$A27,0))</f>
        <v>1.429</v>
      </c>
      <c r="X27" s="80" t="n">
        <f aca="false">IF(ISERROR(VLOOKUP(X$20,RawData,$A27,0)),0,VLOOKUP(X$20,RawData,$A27,0))</f>
        <v>0.485</v>
      </c>
      <c r="Y27" s="80" t="n">
        <f aca="false">IF(ISERROR(VLOOKUP(Y$20,RawData,$A27,0)),0,VLOOKUP(Y$20,RawData,$A27,0))</f>
        <v>1.405</v>
      </c>
      <c r="Z27" s="80" t="n">
        <f aca="false">IF(ISERROR(VLOOKUP(Z$20,RawData,$A27,0)),0,VLOOKUP(Z$20,RawData,$A27,0))</f>
        <v>1.291</v>
      </c>
      <c r="AA27" s="80" t="n">
        <f aca="false">IF(ISERROR(VLOOKUP(AA$20,RawData,$A27,0)),0,VLOOKUP(AA$20,RawData,$A27,0))</f>
        <v>0</v>
      </c>
      <c r="AB27" s="80" t="n">
        <f aca="false">IF(ISERROR(VLOOKUP(AB$20,RawData,$A27,0)),0,VLOOKUP(AB$20,RawData,$A27,0))</f>
        <v>0.962</v>
      </c>
      <c r="AC27" s="80" t="n">
        <f aca="false">IF(ISERROR(VLOOKUP(AC$20,RawData,$A27,0)),0,VLOOKUP(AC$20,RawData,$A27,0))</f>
        <v>0.827000000000001</v>
      </c>
      <c r="AD27" s="80" t="n">
        <f aca="false">IF(ISERROR(VLOOKUP(AD$20,RawData,$A27,0)),0,VLOOKUP(AD$20,RawData,$A27,0))</f>
        <v>1.198</v>
      </c>
      <c r="AE27" s="80" t="n">
        <f aca="false">IF(ISERROR(VLOOKUP(AE$20,RawData,$A27,0)),0,VLOOKUP(AE$20,RawData,$A27,0))</f>
        <v>0.872</v>
      </c>
      <c r="AF27" s="80" t="n">
        <f aca="false">IF(ISERROR(VLOOKUP(AF$20,RawData,$A27,0)),0,VLOOKUP(AF$20,RawData,$A27,0))</f>
        <v>0.795</v>
      </c>
      <c r="AG27" s="80" t="n">
        <f aca="false">IF(ISERROR(VLOOKUP(AG$20,RawData,$A27,0)),0,VLOOKUP(AG$20,RawData,$A27,0))</f>
        <v>0.986</v>
      </c>
      <c r="AH27" s="80" t="n">
        <f aca="false">IF(ISERROR(VLOOKUP(AH$20,RawData,$A27,0)),0,VLOOKUP(AH$20,RawData,$A27,0))</f>
        <v>0.924</v>
      </c>
      <c r="AI27" s="80" t="n">
        <f aca="false">IF(ISERROR(VLOOKUP(AI$20,RawData,$A27,0)),0,VLOOKUP(AI$20,RawData,$A27,0))</f>
        <v>0.866</v>
      </c>
      <c r="AJ27" s="80" t="n">
        <f aca="false">IF(ISERROR(VLOOKUP(AJ$20,RawData,$A27,0)),0,VLOOKUP(AJ$20,RawData,$A27,0))</f>
        <v>0.866</v>
      </c>
      <c r="AK27" s="80" t="n">
        <f aca="false">IF(ISERROR(VLOOKUP(AK$20,RawData,$A27,0)),0,VLOOKUP(AK$20,RawData,$A27,0))</f>
        <v>1.045</v>
      </c>
      <c r="AL27" s="80" t="n">
        <f aca="false">IF(ISERROR(VLOOKUP(AL$20,RawData,$A27,0)),0,VLOOKUP(AL$20,RawData,$A27,0))</f>
        <v>0.802</v>
      </c>
      <c r="AM27" s="80" t="n">
        <f aca="false">IF(ISERROR(VLOOKUP(AM$20,RawData,$A27,0)),0,VLOOKUP(AM$20,RawData,$A27,0))</f>
        <v>0.736</v>
      </c>
      <c r="AN27" s="80" t="n">
        <f aca="false">IF(ISERROR(VLOOKUP(AN$20,RawData,$A27,0)),0,VLOOKUP(AN$20,RawData,$A27,0))</f>
        <v>0.923000000000001</v>
      </c>
      <c r="AO27" s="80" t="n">
        <f aca="false">IF(ISERROR(VLOOKUP(AO$20,RawData,$A27,0)),0,VLOOKUP(AO$20,RawData,$A27,0))</f>
        <v>0.631</v>
      </c>
      <c r="AP27" s="80" t="n">
        <f aca="false">IF(ISERROR(VLOOKUP(AP$20,RawData,$A27,0)),0,VLOOKUP(AP$20,RawData,$A27,0))</f>
        <v>0.631</v>
      </c>
      <c r="AQ27" s="80" t="n">
        <f aca="false">IF(ISERROR(VLOOKUP(AQ$20,RawData,$A27,0)),0,VLOOKUP(AQ$20,RawData,$A27,0))</f>
        <v>0.77</v>
      </c>
      <c r="AR27" s="80" t="n">
        <f aca="false">IF(ISERROR(VLOOKUP(AR$20,RawData,$A27,0)),0,VLOOKUP(AR$20,RawData,$A27,0))</f>
        <v>0.596</v>
      </c>
      <c r="AS27" s="81" t="n">
        <f aca="false">IF(ISERROR(VLOOKUP(AS$20,RawData,$A27,0)),0,VLOOKUP(AS$20,RawData,$A27,0))</f>
        <v>0.673</v>
      </c>
      <c r="AT27" s="81" t="n">
        <f aca="false">IF(ISERROR(VLOOKUP(AT$20,RawData,$A27,0)),0,VLOOKUP(AT$20,RawData,$A27,0))</f>
        <v>0.667</v>
      </c>
      <c r="AU27" s="81" t="n">
        <f aca="false">IF(ISERROR(VLOOKUP(AU$20,RawData,$A27,0)),0,VLOOKUP(AU$20,RawData,$A27,0))</f>
        <v>1.991</v>
      </c>
      <c r="AV27" s="81" t="n">
        <f aca="false">IF(ISERROR(VLOOKUP(AV$20,RawData,$A27,0)),0,VLOOKUP(AV$20,RawData,$A27,0))</f>
        <v>1.323</v>
      </c>
      <c r="AW27" s="81" t="n">
        <f aca="false">IF(ISERROR(VLOOKUP(AW$20,RawData,$A27,0)),0,VLOOKUP(AW$20,RawData,$A27,0))</f>
        <v>0</v>
      </c>
      <c r="AX27" s="81" t="n">
        <f aca="false">IF(ISERROR(VLOOKUP(AX$20,RawData,$A27,0)),0,VLOOKUP(AX$20,RawData,$A27,0))</f>
        <v>1.173</v>
      </c>
      <c r="AY27" s="81" t="n">
        <f aca="false">IF(ISERROR(VLOOKUP(AY$20,RawData,$A27,0)),0,VLOOKUP(AY$20,RawData,$A27,0))</f>
        <v>1.262</v>
      </c>
      <c r="AZ27" s="81" t="n">
        <f aca="false">IF(ISERROR(VLOOKUP(AZ$20,RawData,$A27,0)),0,VLOOKUP(AZ$20,RawData,$A27,0))</f>
        <v>1.243</v>
      </c>
      <c r="BA27" s="81" t="n">
        <f aca="false">IF(ISERROR(VLOOKUP(BA$20,RawData,$A27,0)),0,VLOOKUP(BA$20,RawData,$A27,0))</f>
        <v>1.557</v>
      </c>
      <c r="BB27" s="81" t="n">
        <f aca="false">IF(ISERROR(VLOOKUP(BB$20,RawData,$A27,0)),0,VLOOKUP(BB$20,RawData,$A27,0))</f>
        <v>1.207</v>
      </c>
      <c r="BC27" s="81" t="n">
        <f aca="false">IF(ISERROR(VLOOKUP(BC$20,RawData,$A27,0)),0,VLOOKUP(BC$20,RawData,$A27,0))</f>
        <v>1.324</v>
      </c>
      <c r="BD27" s="81" t="n">
        <f aca="false">IF(ISERROR(VLOOKUP(BD$20,RawData,$A27,0)),0,VLOOKUP(BD$20,RawData,$A27,0))</f>
        <v>0.898</v>
      </c>
      <c r="BE27" s="81" t="n">
        <f aca="false">IF(ISERROR(VLOOKUP(BE$20,RawData,$A27,0)),0,VLOOKUP(BE$20,RawData,$A27,0))</f>
        <v>0</v>
      </c>
      <c r="BF27" s="81" t="n">
        <f aca="false">IF(ISERROR(VLOOKUP(BF$20,RawData,$A27,0)),0,VLOOKUP(BF$20,RawData,$A27,0))</f>
        <v>1.02</v>
      </c>
      <c r="BG27" s="81" t="n">
        <f aca="false">IF(ISERROR(VLOOKUP(BG$20,RawData,$A27,0)),0,VLOOKUP(BG$20,RawData,$A27,0))</f>
        <v>0.769</v>
      </c>
      <c r="BH27" s="81" t="n">
        <f aca="false">IF(ISERROR(VLOOKUP(BH$20,RawData,$A27,0)),0,VLOOKUP(BH$20,RawData,$A27,0))</f>
        <v>0.77</v>
      </c>
      <c r="BI27" s="82" t="n">
        <f aca="false">IF(ISERROR(VLOOKUP(BI$20,RawData,$A27,0)),0,VLOOKUP(BI$20,RawData,$A27,0))</f>
        <v>0</v>
      </c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</row>
    <row r="28" customFormat="false" ht="15.75" hidden="false" customHeight="true" outlineLevel="0" collapsed="false">
      <c r="A28" s="78" t="n">
        <v>9</v>
      </c>
      <c r="B28" s="79" t="n">
        <f aca="false">IF(ISERROR(VLOOKUP(B$20,RawData,$A28,0)),0,VLOOKUP(B$20,RawData,$A28,0))</f>
        <v>80.962</v>
      </c>
      <c r="C28" s="80" t="n">
        <f aca="false">IF(ISERROR(VLOOKUP(C$20,RawData,$A28,0)),0,VLOOKUP(C$20,RawData,$A28,0))</f>
        <v>79.9315</v>
      </c>
      <c r="D28" s="80" t="n">
        <f aca="false">IF(ISERROR(VLOOKUP(D$20,RawData,$A28,0)),0,VLOOKUP(D$20,RawData,$A28,0))</f>
        <v>80.804</v>
      </c>
      <c r="E28" s="80" t="n">
        <f aca="false">IF(ISERROR(VLOOKUP(E$20,RawData,$A28,0)),0,VLOOKUP(E$20,RawData,$A28,0))</f>
        <v>82.24</v>
      </c>
      <c r="F28" s="80" t="n">
        <f aca="false">IF(ISERROR(VLOOKUP(F$20,RawData,$A28,0)),0,VLOOKUP(F$20,RawData,$A28,0))</f>
        <v>80.086</v>
      </c>
      <c r="G28" s="80" t="n">
        <f aca="false">IF(ISERROR(VLOOKUP(G$20,RawData,$A28,0)),0,VLOOKUP(G$20,RawData,$A28,0))</f>
        <v>80.641</v>
      </c>
      <c r="H28" s="80" t="n">
        <f aca="false">IF(ISERROR(VLOOKUP(H$20,RawData,$A28,0)),0,VLOOKUP(H$20,RawData,$A28,0))</f>
        <v>79.578</v>
      </c>
      <c r="I28" s="80" t="n">
        <f aca="false">IF(ISERROR(VLOOKUP(I$20,RawData,$A28,0)),0,VLOOKUP(I$20,RawData,$A28,0))</f>
        <v>79.513</v>
      </c>
      <c r="J28" s="80" t="n">
        <f aca="false">IF(ISERROR(VLOOKUP(J$20,RawData,$A28,0)),0,VLOOKUP(J$20,RawData,$A28,0))</f>
        <v>81.076</v>
      </c>
      <c r="K28" s="80" t="n">
        <f aca="false">IF(ISERROR(VLOOKUP(K$20,RawData,$A28,0)),0,VLOOKUP(K$20,RawData,$A28,0))</f>
        <v>77.622</v>
      </c>
      <c r="L28" s="80" t="n">
        <f aca="false">IF(ISERROR(VLOOKUP(L$20,RawData,$A28,0)),0,VLOOKUP(L$20,RawData,$A28,0))</f>
        <v>79.1761940127324</v>
      </c>
      <c r="M28" s="80" t="n">
        <f aca="false">IF(ISERROR(VLOOKUP(M$20,RawData,$A28,0)),0,VLOOKUP(M$20,RawData,$A28,0))</f>
        <v>79.1767516200042</v>
      </c>
      <c r="N28" s="80" t="n">
        <f aca="false">IF(ISERROR(VLOOKUP(N$20,RawData,$A28,0)),0,VLOOKUP(N$20,RawData,$A28,0))</f>
        <v>80.7794008690854</v>
      </c>
      <c r="O28" s="80" t="n">
        <f aca="false">IF(ISERROR(VLOOKUP(O$20,RawData,$A28,0)),0,VLOOKUP(O$20,RawData,$A28,0))</f>
        <v>80.7971468176893</v>
      </c>
      <c r="P28" s="80" t="n">
        <f aca="false">IF(ISERROR(VLOOKUP(P$20,RawData,$A28,0)),0,VLOOKUP(P$20,RawData,$A28,0))</f>
        <v>80.6150901073344</v>
      </c>
      <c r="Q28" s="80" t="n">
        <f aca="false">IF(ISERROR(VLOOKUP(Q$20,RawData,$A28,0)),0,VLOOKUP(Q$20,RawData,$A28,0))</f>
        <v>79.1595001220703</v>
      </c>
      <c r="R28" s="80" t="n">
        <f aca="false">IF(ISERROR(VLOOKUP(R$20,RawData,$A28,0)),0,VLOOKUP(R$20,RawData,$A28,0))</f>
        <v>80.724</v>
      </c>
      <c r="S28" s="80" t="n">
        <f aca="false">IF(ISERROR(VLOOKUP(S$20,RawData,$A28,0)),0,VLOOKUP(S$20,RawData,$A28,0))</f>
        <v>80.724</v>
      </c>
      <c r="T28" s="80" t="n">
        <f aca="false">IF(ISERROR(VLOOKUP(T$20,RawData,$A28,0)),0,VLOOKUP(T$20,RawData,$A28,0))</f>
        <v>81.2786633147187</v>
      </c>
      <c r="U28" s="80" t="n">
        <f aca="false">IF(ISERROR(VLOOKUP(U$20,RawData,$A28,0)),0,VLOOKUP(U$20,RawData,$A28,0))</f>
        <v>81.2436523334954</v>
      </c>
      <c r="V28" s="80" t="n">
        <f aca="false">IF(ISERROR(VLOOKUP(V$20,RawData,$A28,0)),0,VLOOKUP(V$20,RawData,$A28,0))</f>
        <v>79.160326528009</v>
      </c>
      <c r="W28" s="80" t="n">
        <f aca="false">IF(ISERROR(VLOOKUP(W$20,RawData,$A28,0)),0,VLOOKUP(W$20,RawData,$A28,0))</f>
        <v>78.31</v>
      </c>
      <c r="X28" s="80" t="n">
        <f aca="false">IF(ISERROR(VLOOKUP(X$20,RawData,$A28,0)),0,VLOOKUP(X$20,RawData,$A28,0))</f>
        <v>85.8800000000001</v>
      </c>
      <c r="Y28" s="80" t="n">
        <f aca="false">IF(ISERROR(VLOOKUP(Y$20,RawData,$A28,0)),0,VLOOKUP(Y$20,RawData,$A28,0))</f>
        <v>70.14</v>
      </c>
      <c r="Z28" s="80" t="n">
        <f aca="false">IF(ISERROR(VLOOKUP(Z$20,RawData,$A28,0)),0,VLOOKUP(Z$20,RawData,$A28,0))</f>
        <v>70.355</v>
      </c>
      <c r="AA28" s="80" t="n">
        <f aca="false">IF(ISERROR(VLOOKUP(AA$20,RawData,$A28,0)),0,VLOOKUP(AA$20,RawData,$A28,0))</f>
        <v>0</v>
      </c>
      <c r="AB28" s="80" t="n">
        <f aca="false">IF(ISERROR(VLOOKUP(AB$20,RawData,$A28,0)),0,VLOOKUP(AB$20,RawData,$A28,0))</f>
        <v>78.52</v>
      </c>
      <c r="AC28" s="80" t="n">
        <f aca="false">IF(ISERROR(VLOOKUP(AC$20,RawData,$A28,0)),0,VLOOKUP(AC$20,RawData,$A28,0))</f>
        <v>78.631</v>
      </c>
      <c r="AD28" s="80" t="n">
        <f aca="false">IF(ISERROR(VLOOKUP(AD$20,RawData,$A28,0)),0,VLOOKUP(AD$20,RawData,$A28,0))</f>
        <v>78.072</v>
      </c>
      <c r="AE28" s="80" t="n">
        <f aca="false">IF(ISERROR(VLOOKUP(AE$20,RawData,$A28,0)),0,VLOOKUP(AE$20,RawData,$A28,0))</f>
        <v>69.481</v>
      </c>
      <c r="AF28" s="80" t="n">
        <f aca="false">IF(ISERROR(VLOOKUP(AF$20,RawData,$A28,0)),0,VLOOKUP(AF$20,RawData,$A28,0))</f>
        <v>78.823</v>
      </c>
      <c r="AG28" s="80" t="n">
        <f aca="false">IF(ISERROR(VLOOKUP(AG$20,RawData,$A28,0)),0,VLOOKUP(AG$20,RawData,$A28,0))</f>
        <v>79.568</v>
      </c>
      <c r="AH28" s="80" t="n">
        <f aca="false">IF(ISERROR(VLOOKUP(AH$20,RawData,$A28,0)),0,VLOOKUP(AH$20,RawData,$A28,0))</f>
        <v>79.81</v>
      </c>
      <c r="AI28" s="80" t="n">
        <f aca="false">IF(ISERROR(VLOOKUP(AI$20,RawData,$A28,0)),0,VLOOKUP(AI$20,RawData,$A28,0))</f>
        <v>77.195</v>
      </c>
      <c r="AJ28" s="80" t="n">
        <f aca="false">IF(ISERROR(VLOOKUP(AJ$20,RawData,$A28,0)),0,VLOOKUP(AJ$20,RawData,$A28,0))</f>
        <v>77.195</v>
      </c>
      <c r="AK28" s="80" t="n">
        <f aca="false">IF(ISERROR(VLOOKUP(AK$20,RawData,$A28,0)),0,VLOOKUP(AK$20,RawData,$A28,0))</f>
        <v>78.009</v>
      </c>
      <c r="AL28" s="80" t="n">
        <f aca="false">IF(ISERROR(VLOOKUP(AL$20,RawData,$A28,0)),0,VLOOKUP(AL$20,RawData,$A28,0))</f>
        <v>78.54</v>
      </c>
      <c r="AM28" s="80" t="n">
        <f aca="false">IF(ISERROR(VLOOKUP(AM$20,RawData,$A28,0)),0,VLOOKUP(AM$20,RawData,$A28,0))</f>
        <v>81.238</v>
      </c>
      <c r="AN28" s="80" t="n">
        <f aca="false">IF(ISERROR(VLOOKUP(AN$20,RawData,$A28,0)),0,VLOOKUP(AN$20,RawData,$A28,0))</f>
        <v>81.04</v>
      </c>
      <c r="AO28" s="80" t="n">
        <f aca="false">IF(ISERROR(VLOOKUP(AO$20,RawData,$A28,0)),0,VLOOKUP(AO$20,RawData,$A28,0))</f>
        <v>85.971</v>
      </c>
      <c r="AP28" s="80" t="n">
        <f aca="false">IF(ISERROR(VLOOKUP(AP$20,RawData,$A28,0)),0,VLOOKUP(AP$20,RawData,$A28,0))</f>
        <v>85.971</v>
      </c>
      <c r="AQ28" s="80" t="n">
        <f aca="false">IF(ISERROR(VLOOKUP(AQ$20,RawData,$A28,0)),0,VLOOKUP(AQ$20,RawData,$A28,0))</f>
        <v>82.547</v>
      </c>
      <c r="AR28" s="80" t="n">
        <f aca="false">IF(ISERROR(VLOOKUP(AR$20,RawData,$A28,0)),0,VLOOKUP(AR$20,RawData,$A28,0))</f>
        <v>84.175</v>
      </c>
      <c r="AS28" s="81" t="n">
        <f aca="false">IF(ISERROR(VLOOKUP(AS$20,RawData,$A28,0)),0,VLOOKUP(AS$20,RawData,$A28,0))</f>
        <v>84.205</v>
      </c>
      <c r="AT28" s="81" t="n">
        <f aca="false">IF(ISERROR(VLOOKUP(AT$20,RawData,$A28,0)),0,VLOOKUP(AT$20,RawData,$A28,0))</f>
        <v>84.115</v>
      </c>
      <c r="AU28" s="81" t="n">
        <f aca="false">IF(ISERROR(VLOOKUP(AU$20,RawData,$A28,0)),0,VLOOKUP(AU$20,RawData,$A28,0))</f>
        <v>79.423</v>
      </c>
      <c r="AV28" s="81" t="n">
        <f aca="false">IF(ISERROR(VLOOKUP(AV$20,RawData,$A28,0)),0,VLOOKUP(AV$20,RawData,$A28,0))</f>
        <v>71.66</v>
      </c>
      <c r="AW28" s="81" t="n">
        <f aca="false">IF(ISERROR(VLOOKUP(AW$20,RawData,$A28,0)),0,VLOOKUP(AW$20,RawData,$A28,0))</f>
        <v>100</v>
      </c>
      <c r="AX28" s="81" t="n">
        <f aca="false">IF(ISERROR(VLOOKUP(AX$20,RawData,$A28,0)),0,VLOOKUP(AX$20,RawData,$A28,0))</f>
        <v>78.171</v>
      </c>
      <c r="AY28" s="81" t="n">
        <f aca="false">IF(ISERROR(VLOOKUP(AY$20,RawData,$A28,0)),0,VLOOKUP(AY$20,RawData,$A28,0))</f>
        <v>69.271</v>
      </c>
      <c r="AZ28" s="81" t="n">
        <f aca="false">IF(ISERROR(VLOOKUP(AZ$20,RawData,$A28,0)),0,VLOOKUP(AZ$20,RawData,$A28,0))</f>
        <v>66.996</v>
      </c>
      <c r="BA28" s="81" t="n">
        <f aca="false">IF(ISERROR(VLOOKUP(BA$20,RawData,$A28,0)),0,VLOOKUP(BA$20,RawData,$A28,0))</f>
        <v>68.605</v>
      </c>
      <c r="BB28" s="81" t="n">
        <f aca="false">IF(ISERROR(VLOOKUP(BB$20,RawData,$A28,0)),0,VLOOKUP(BB$20,RawData,$A28,0))</f>
        <v>69.703</v>
      </c>
      <c r="BC28" s="81" t="n">
        <f aca="false">IF(ISERROR(VLOOKUP(BC$20,RawData,$A28,0)),0,VLOOKUP(BC$20,RawData,$A28,0))</f>
        <v>67.68</v>
      </c>
      <c r="BD28" s="81" t="n">
        <f aca="false">IF(ISERROR(VLOOKUP(BD$20,RawData,$A28,0)),0,VLOOKUP(BD$20,RawData,$A28,0))</f>
        <v>77.321</v>
      </c>
      <c r="BE28" s="81" t="n">
        <f aca="false">IF(ISERROR(VLOOKUP(BE$20,RawData,$A28,0)),0,VLOOKUP(BE$20,RawData,$A28,0))</f>
        <v>0</v>
      </c>
      <c r="BF28" s="81" t="n">
        <f aca="false">IF(ISERROR(VLOOKUP(BF$20,RawData,$A28,0)),0,VLOOKUP(BF$20,RawData,$A28,0))</f>
        <v>75.73</v>
      </c>
      <c r="BG28" s="81" t="n">
        <f aca="false">IF(ISERROR(VLOOKUP(BG$20,RawData,$A28,0)),0,VLOOKUP(BG$20,RawData,$A28,0))</f>
        <v>70.478</v>
      </c>
      <c r="BH28" s="81" t="n">
        <f aca="false">IF(ISERROR(VLOOKUP(BH$20,RawData,$A28,0)),0,VLOOKUP(BH$20,RawData,$A28,0))</f>
        <v>73.096</v>
      </c>
      <c r="BI28" s="82" t="n">
        <f aca="false">IF(ISERROR(VLOOKUP(BI$20,RawData,$A28,0)),0,VLOOKUP(BI$20,RawData,$A28,0))</f>
        <v>0</v>
      </c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</row>
    <row r="29" customFormat="false" ht="15.75" hidden="false" customHeight="true" outlineLevel="0" collapsed="false">
      <c r="A29" s="78" t="n">
        <v>10</v>
      </c>
      <c r="B29" s="79" t="n">
        <f aca="false">IF(ISERROR(VLOOKUP(B$20,RawData,$A29,0)),0,VLOOKUP(B$20,RawData,$A29,0))</f>
        <v>10.678</v>
      </c>
      <c r="C29" s="80" t="n">
        <f aca="false">IF(ISERROR(VLOOKUP(C$20,RawData,$A29,0)),0,VLOOKUP(C$20,RawData,$A29,0))</f>
        <v>10.7207</v>
      </c>
      <c r="D29" s="80" t="n">
        <f aca="false">IF(ISERROR(VLOOKUP(D$20,RawData,$A29,0)),0,VLOOKUP(D$20,RawData,$A29,0))</f>
        <v>10.688</v>
      </c>
      <c r="E29" s="80" t="n">
        <f aca="false">IF(ISERROR(VLOOKUP(E$20,RawData,$A29,0)),0,VLOOKUP(E$20,RawData,$A29,0))</f>
        <v>10.975</v>
      </c>
      <c r="F29" s="80" t="n">
        <f aca="false">IF(ISERROR(VLOOKUP(F$20,RawData,$A29,0)),0,VLOOKUP(F$20,RawData,$A29,0))</f>
        <v>10.925</v>
      </c>
      <c r="G29" s="80" t="n">
        <f aca="false">IF(ISERROR(VLOOKUP(G$20,RawData,$A29,0)),0,VLOOKUP(G$20,RawData,$A29,0))</f>
        <v>10.992</v>
      </c>
      <c r="H29" s="80" t="n">
        <f aca="false">IF(ISERROR(VLOOKUP(H$20,RawData,$A29,0)),0,VLOOKUP(H$20,RawData,$A29,0))</f>
        <v>11.038</v>
      </c>
      <c r="I29" s="80" t="n">
        <f aca="false">IF(ISERROR(VLOOKUP(I$20,RawData,$A29,0)),0,VLOOKUP(I$20,RawData,$A29,0))</f>
        <v>10.982</v>
      </c>
      <c r="J29" s="80" t="n">
        <f aca="false">IF(ISERROR(VLOOKUP(J$20,RawData,$A29,0)),0,VLOOKUP(J$20,RawData,$A29,0))</f>
        <v>10.555</v>
      </c>
      <c r="K29" s="80" t="n">
        <f aca="false">IF(ISERROR(VLOOKUP(K$20,RawData,$A29,0)),0,VLOOKUP(K$20,RawData,$A29,0))</f>
        <v>11.39</v>
      </c>
      <c r="L29" s="80" t="n">
        <f aca="false">IF(ISERROR(VLOOKUP(L$20,RawData,$A29,0)),0,VLOOKUP(L$20,RawData,$A29,0))</f>
        <v>9.43309602648388</v>
      </c>
      <c r="M29" s="80" t="n">
        <f aca="false">IF(ISERROR(VLOOKUP(M$20,RawData,$A29,0)),0,VLOOKUP(M$20,RawData,$A29,0))</f>
        <v>9.43254437363945</v>
      </c>
      <c r="N29" s="80" t="n">
        <f aca="false">IF(ISERROR(VLOOKUP(N$20,RawData,$A29,0)),0,VLOOKUP(N$20,RawData,$A29,0))</f>
        <v>10.5911154496617</v>
      </c>
      <c r="O29" s="80" t="n">
        <f aca="false">IF(ISERROR(VLOOKUP(O$20,RawData,$A29,0)),0,VLOOKUP(O$20,RawData,$A29,0))</f>
        <v>10.5877152912078</v>
      </c>
      <c r="P29" s="80" t="n">
        <f aca="false">IF(ISERROR(VLOOKUP(P$20,RawData,$A29,0)),0,VLOOKUP(P$20,RawData,$A29,0))</f>
        <v>10.6346550546324</v>
      </c>
      <c r="Q29" s="80" t="n">
        <f aca="false">IF(ISERROR(VLOOKUP(Q$20,RawData,$A29,0)),0,VLOOKUP(Q$20,RawData,$A29,0))</f>
        <v>10.7407999038696</v>
      </c>
      <c r="R29" s="80" t="n">
        <f aca="false">IF(ISERROR(VLOOKUP(R$20,RawData,$A29,0)),0,VLOOKUP(R$20,RawData,$A29,0))</f>
        <v>10.702</v>
      </c>
      <c r="S29" s="80" t="n">
        <f aca="false">IF(ISERROR(VLOOKUP(S$20,RawData,$A29,0)),0,VLOOKUP(S$20,RawData,$A29,0))</f>
        <v>10.702</v>
      </c>
      <c r="T29" s="80" t="n">
        <f aca="false">IF(ISERROR(VLOOKUP(T$20,RawData,$A29,0)),0,VLOOKUP(T$20,RawData,$A29,0))</f>
        <v>10.5018070889406</v>
      </c>
      <c r="U29" s="80" t="n">
        <f aca="false">IF(ISERROR(VLOOKUP(U$20,RawData,$A29,0)),0,VLOOKUP(U$20,RawData,$A29,0))</f>
        <v>10.5658812522888</v>
      </c>
      <c r="V29" s="80" t="n">
        <f aca="false">IF(ISERROR(VLOOKUP(V$20,RawData,$A29,0)),0,VLOOKUP(V$20,RawData,$A29,0))</f>
        <v>11.1755135924096</v>
      </c>
      <c r="W29" s="80" t="n">
        <f aca="false">IF(ISERROR(VLOOKUP(W$20,RawData,$A29,0)),0,VLOOKUP(W$20,RawData,$A29,0))</f>
        <v>9.607</v>
      </c>
      <c r="X29" s="80" t="n">
        <f aca="false">IF(ISERROR(VLOOKUP(X$20,RawData,$A29,0)),0,VLOOKUP(X$20,RawData,$A29,0))</f>
        <v>7.333</v>
      </c>
      <c r="Y29" s="80" t="n">
        <f aca="false">IF(ISERROR(VLOOKUP(Y$20,RawData,$A29,0)),0,VLOOKUP(Y$20,RawData,$A29,0))</f>
        <v>12.827</v>
      </c>
      <c r="Z29" s="80" t="n">
        <f aca="false">IF(ISERROR(VLOOKUP(Z$20,RawData,$A29,0)),0,VLOOKUP(Z$20,RawData,$A29,0))</f>
        <v>12.637</v>
      </c>
      <c r="AA29" s="80" t="n">
        <f aca="false">IF(ISERROR(VLOOKUP(AA$20,RawData,$A29,0)),0,VLOOKUP(AA$20,RawData,$A29,0))</f>
        <v>0</v>
      </c>
      <c r="AB29" s="80" t="n">
        <f aca="false">IF(ISERROR(VLOOKUP(AB$20,RawData,$A29,0)),0,VLOOKUP(AB$20,RawData,$A29,0))</f>
        <v>11.321</v>
      </c>
      <c r="AC29" s="80" t="n">
        <f aca="false">IF(ISERROR(VLOOKUP(AC$20,RawData,$A29,0)),0,VLOOKUP(AC$20,RawData,$A29,0))</f>
        <v>11.052</v>
      </c>
      <c r="AD29" s="80" t="n">
        <f aca="false">IF(ISERROR(VLOOKUP(AD$20,RawData,$A29,0)),0,VLOOKUP(AD$20,RawData,$A29,0))</f>
        <v>10.824</v>
      </c>
      <c r="AE29" s="80" t="n">
        <f aca="false">IF(ISERROR(VLOOKUP(AE$20,RawData,$A29,0)),0,VLOOKUP(AE$20,RawData,$A29,0))</f>
        <v>14.651</v>
      </c>
      <c r="AF29" s="80" t="n">
        <f aca="false">IF(ISERROR(VLOOKUP(AF$20,RawData,$A29,0)),0,VLOOKUP(AF$20,RawData,$A29,0))</f>
        <v>11.069</v>
      </c>
      <c r="AG29" s="80" t="n">
        <f aca="false">IF(ISERROR(VLOOKUP(AG$20,RawData,$A29,0)),0,VLOOKUP(AG$20,RawData,$A29,0))</f>
        <v>11.194</v>
      </c>
      <c r="AH29" s="80" t="n">
        <f aca="false">IF(ISERROR(VLOOKUP(AH$20,RawData,$A29,0)),0,VLOOKUP(AH$20,RawData,$A29,0))</f>
        <v>10.702</v>
      </c>
      <c r="AI29" s="80" t="n">
        <f aca="false">IF(ISERROR(VLOOKUP(AI$20,RawData,$A29,0)),0,VLOOKUP(AI$20,RawData,$A29,0))</f>
        <v>11.392</v>
      </c>
      <c r="AJ29" s="80" t="n">
        <f aca="false">IF(ISERROR(VLOOKUP(AJ$20,RawData,$A29,0)),0,VLOOKUP(AJ$20,RawData,$A29,0))</f>
        <v>11.392</v>
      </c>
      <c r="AK29" s="80" t="n">
        <f aca="false">IF(ISERROR(VLOOKUP(AK$20,RawData,$A29,0)),0,VLOOKUP(AK$20,RawData,$A29,0))</f>
        <v>11.578</v>
      </c>
      <c r="AL29" s="80" t="n">
        <f aca="false">IF(ISERROR(VLOOKUP(AL$20,RawData,$A29,0)),0,VLOOKUP(AL$20,RawData,$A29,0))</f>
        <v>11.158</v>
      </c>
      <c r="AM29" s="80" t="n">
        <f aca="false">IF(ISERROR(VLOOKUP(AM$20,RawData,$A29,0)),0,VLOOKUP(AM$20,RawData,$A29,0))</f>
        <v>10.675</v>
      </c>
      <c r="AN29" s="80" t="n">
        <f aca="false">IF(ISERROR(VLOOKUP(AN$20,RawData,$A29,0)),0,VLOOKUP(AN$20,RawData,$A29,0))</f>
        <v>10.067</v>
      </c>
      <c r="AO29" s="80" t="n">
        <f aca="false">IF(ISERROR(VLOOKUP(AO$20,RawData,$A29,0)),0,VLOOKUP(AO$20,RawData,$A29,0))</f>
        <v>7.221</v>
      </c>
      <c r="AP29" s="80" t="n">
        <f aca="false">IF(ISERROR(VLOOKUP(AP$20,RawData,$A29,0)),0,VLOOKUP(AP$20,RawData,$A29,0))</f>
        <v>7.221</v>
      </c>
      <c r="AQ29" s="80" t="n">
        <f aca="false">IF(ISERROR(VLOOKUP(AQ$20,RawData,$A29,0)),0,VLOOKUP(AQ$20,RawData,$A29,0))</f>
        <v>8.933</v>
      </c>
      <c r="AR29" s="80" t="n">
        <f aca="false">IF(ISERROR(VLOOKUP(AR$20,RawData,$A29,0)),0,VLOOKUP(AR$20,RawData,$A29,0))</f>
        <v>7.74</v>
      </c>
      <c r="AS29" s="81" t="n">
        <f aca="false">IF(ISERROR(VLOOKUP(AS$20,RawData,$A29,0)),0,VLOOKUP(AS$20,RawData,$A29,0))</f>
        <v>7.615</v>
      </c>
      <c r="AT29" s="81" t="n">
        <f aca="false">IF(ISERROR(VLOOKUP(AT$20,RawData,$A29,0)),0,VLOOKUP(AT$20,RawData,$A29,0))</f>
        <v>7.703</v>
      </c>
      <c r="AU29" s="81" t="n">
        <f aca="false">IF(ISERROR(VLOOKUP(AU$20,RawData,$A29,0)),0,VLOOKUP(AU$20,RawData,$A29,0))</f>
        <v>8.872</v>
      </c>
      <c r="AV29" s="81" t="n">
        <f aca="false">IF(ISERROR(VLOOKUP(AV$20,RawData,$A29,0)),0,VLOOKUP(AV$20,RawData,$A29,0))</f>
        <v>12.662</v>
      </c>
      <c r="AW29" s="81" t="n">
        <f aca="false">IF(ISERROR(VLOOKUP(AW$20,RawData,$A29,0)),0,VLOOKUP(AW$20,RawData,$A29,0))</f>
        <v>0</v>
      </c>
      <c r="AX29" s="81" t="n">
        <f aca="false">IF(ISERROR(VLOOKUP(AX$20,RawData,$A29,0)),0,VLOOKUP(AX$20,RawData,$A29,0))</f>
        <v>10.944</v>
      </c>
      <c r="AY29" s="81" t="n">
        <f aca="false">IF(ISERROR(VLOOKUP(AY$20,RawData,$A29,0)),0,VLOOKUP(AY$20,RawData,$A29,0))</f>
        <v>13.537</v>
      </c>
      <c r="AZ29" s="81" t="n">
        <f aca="false">IF(ISERROR(VLOOKUP(AZ$20,RawData,$A29,0)),0,VLOOKUP(AZ$20,RawData,$A29,0))</f>
        <v>12.796</v>
      </c>
      <c r="BA29" s="81" t="n">
        <f aca="false">IF(ISERROR(VLOOKUP(BA$20,RawData,$A29,0)),0,VLOOKUP(BA$20,RawData,$A29,0))</f>
        <v>13.605</v>
      </c>
      <c r="BB29" s="81" t="n">
        <f aca="false">IF(ISERROR(VLOOKUP(BB$20,RawData,$A29,0)),0,VLOOKUP(BB$20,RawData,$A29,0))</f>
        <v>13.688</v>
      </c>
      <c r="BC29" s="81" t="n">
        <f aca="false">IF(ISERROR(VLOOKUP(BC$20,RawData,$A29,0)),0,VLOOKUP(BC$20,RawData,$A29,0))</f>
        <v>13.238</v>
      </c>
      <c r="BD29" s="81" t="n">
        <f aca="false">IF(ISERROR(VLOOKUP(BD$20,RawData,$A29,0)),0,VLOOKUP(BD$20,RawData,$A29,0))</f>
        <v>9.42</v>
      </c>
      <c r="BE29" s="81" t="n">
        <f aca="false">IF(ISERROR(VLOOKUP(BE$20,RawData,$A29,0)),0,VLOOKUP(BE$20,RawData,$A29,0))</f>
        <v>0</v>
      </c>
      <c r="BF29" s="81" t="n">
        <f aca="false">IF(ISERROR(VLOOKUP(BF$20,RawData,$A29,0)),0,VLOOKUP(BF$20,RawData,$A29,0))</f>
        <v>12.299</v>
      </c>
      <c r="BG29" s="81" t="n">
        <f aca="false">IF(ISERROR(VLOOKUP(BG$20,RawData,$A29,0)),0,VLOOKUP(BG$20,RawData,$A29,0))</f>
        <v>14.337</v>
      </c>
      <c r="BH29" s="81" t="n">
        <f aca="false">IF(ISERROR(VLOOKUP(BH$20,RawData,$A29,0)),0,VLOOKUP(BH$20,RawData,$A29,0))</f>
        <v>13.183</v>
      </c>
      <c r="BI29" s="82" t="n">
        <f aca="false">IF(ISERROR(VLOOKUP(BI$20,RawData,$A29,0)),0,VLOOKUP(BI$20,RawData,$A29,0))</f>
        <v>0</v>
      </c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</row>
    <row r="30" customFormat="false" ht="15.75" hidden="false" customHeight="true" outlineLevel="0" collapsed="false">
      <c r="A30" s="78" t="n">
        <v>11</v>
      </c>
      <c r="B30" s="79" t="n">
        <f aca="false">IF(ISERROR(VLOOKUP(B$20,RawData,$A30,0)),0,VLOOKUP(B$20,RawData,$A30,0))</f>
        <v>3.898</v>
      </c>
      <c r="C30" s="80" t="n">
        <f aca="false">IF(ISERROR(VLOOKUP(C$20,RawData,$A30,0)),0,VLOOKUP(C$20,RawData,$A30,0))</f>
        <v>3.6801</v>
      </c>
      <c r="D30" s="80" t="n">
        <f aca="false">IF(ISERROR(VLOOKUP(D$20,RawData,$A30,0)),0,VLOOKUP(D$20,RawData,$A30,0))</f>
        <v>4.16</v>
      </c>
      <c r="E30" s="80" t="n">
        <f aca="false">IF(ISERROR(VLOOKUP(E$20,RawData,$A30,0)),0,VLOOKUP(E$20,RawData,$A30,0))</f>
        <v>4.042</v>
      </c>
      <c r="F30" s="80" t="n">
        <f aca="false">IF(ISERROR(VLOOKUP(F$20,RawData,$A30,0)),0,VLOOKUP(F$20,RawData,$A30,0))</f>
        <v>4.435</v>
      </c>
      <c r="G30" s="80" t="n">
        <f aca="false">IF(ISERROR(VLOOKUP(G$20,RawData,$A30,0)),0,VLOOKUP(G$20,RawData,$A30,0))</f>
        <v>4.336</v>
      </c>
      <c r="H30" s="80" t="n">
        <f aca="false">IF(ISERROR(VLOOKUP(H$20,RawData,$A30,0)),0,VLOOKUP(H$20,RawData,$A30,0))</f>
        <v>4.435</v>
      </c>
      <c r="I30" s="80" t="n">
        <f aca="false">IF(ISERROR(VLOOKUP(I$20,RawData,$A30,0)),0,VLOOKUP(I$20,RawData,$A30,0))</f>
        <v>4.229</v>
      </c>
      <c r="J30" s="80" t="n">
        <f aca="false">IF(ISERROR(VLOOKUP(J$20,RawData,$A30,0)),0,VLOOKUP(J$20,RawData,$A30,0))</f>
        <v>4.037</v>
      </c>
      <c r="K30" s="80" t="n">
        <f aca="false">IF(ISERROR(VLOOKUP(K$20,RawData,$A30,0)),0,VLOOKUP(K$20,RawData,$A30,0))</f>
        <v>5.353</v>
      </c>
      <c r="L30" s="80" t="n">
        <f aca="false">IF(ISERROR(VLOOKUP(L$20,RawData,$A30,0)),0,VLOOKUP(L$20,RawData,$A30,0))</f>
        <v>5.05057468460211</v>
      </c>
      <c r="M30" s="80" t="n">
        <f aca="false">IF(ISERROR(VLOOKUP(M$20,RawData,$A30,0)),0,VLOOKUP(M$20,RawData,$A30,0))</f>
        <v>5.05028694260133</v>
      </c>
      <c r="N30" s="80" t="n">
        <f aca="false">IF(ISERROR(VLOOKUP(N$20,RawData,$A30,0)),0,VLOOKUP(N$20,RawData,$A30,0))</f>
        <v>4.41724218760527</v>
      </c>
      <c r="O30" s="80" t="n">
        <f aca="false">IF(ISERROR(VLOOKUP(O$20,RawData,$A30,0)),0,VLOOKUP(O$20,RawData,$A30,0))</f>
        <v>4.41222034282582</v>
      </c>
      <c r="P30" s="80" t="n">
        <f aca="false">IF(ISERROR(VLOOKUP(P$20,RawData,$A30,0)),0,VLOOKUP(P$20,RawData,$A30,0))</f>
        <v>4.4701231263416</v>
      </c>
      <c r="Q30" s="80" t="n">
        <f aca="false">IF(ISERROR(VLOOKUP(Q$20,RawData,$A30,0)),0,VLOOKUP(Q$20,RawData,$A30,0))</f>
        <v>4.7878999710083</v>
      </c>
      <c r="R30" s="80" t="n">
        <f aca="false">IF(ISERROR(VLOOKUP(R$20,RawData,$A30,0)),0,VLOOKUP(R$20,RawData,$A30,0))</f>
        <v>4.31</v>
      </c>
      <c r="S30" s="80" t="n">
        <f aca="false">IF(ISERROR(VLOOKUP(S$20,RawData,$A30,0)),0,VLOOKUP(S$20,RawData,$A30,0))</f>
        <v>4.31</v>
      </c>
      <c r="T30" s="80" t="n">
        <f aca="false">IF(ISERROR(VLOOKUP(T$20,RawData,$A30,0)),0,VLOOKUP(T$20,RawData,$A30,0))</f>
        <v>4.25902740437906</v>
      </c>
      <c r="U30" s="80" t="n">
        <f aca="false">IF(ISERROR(VLOOKUP(U$20,RawData,$A30,0)),0,VLOOKUP(U$20,RawData,$A30,0))</f>
        <v>4.24323085975903</v>
      </c>
      <c r="V30" s="80" t="n">
        <f aca="false">IF(ISERROR(VLOOKUP(V$20,RawData,$A30,0)),0,VLOOKUP(V$20,RawData,$A30,0))</f>
        <v>4.99296145641652</v>
      </c>
      <c r="W30" s="80" t="n">
        <f aca="false">IF(ISERROR(VLOOKUP(W$20,RawData,$A30,0)),0,VLOOKUP(W$20,RawData,$A30,0))</f>
        <v>4.619</v>
      </c>
      <c r="X30" s="80" t="n">
        <f aca="false">IF(ISERROR(VLOOKUP(X$20,RawData,$A30,0)),0,VLOOKUP(X$20,RawData,$A30,0))</f>
        <v>3.294</v>
      </c>
      <c r="Y30" s="80" t="n">
        <f aca="false">IF(ISERROR(VLOOKUP(Y$20,RawData,$A30,0)),0,VLOOKUP(Y$20,RawData,$A30,0))</f>
        <v>8.599</v>
      </c>
      <c r="Z30" s="80" t="n">
        <f aca="false">IF(ISERROR(VLOOKUP(Z$20,RawData,$A30,0)),0,VLOOKUP(Z$20,RawData,$A30,0))</f>
        <v>8.294</v>
      </c>
      <c r="AA30" s="80" t="n">
        <f aca="false">IF(ISERROR(VLOOKUP(AA$20,RawData,$A30,0)),0,VLOOKUP(AA$20,RawData,$A30,0))</f>
        <v>0</v>
      </c>
      <c r="AB30" s="80" t="n">
        <f aca="false">IF(ISERROR(VLOOKUP(AB$20,RawData,$A30,0)),0,VLOOKUP(AB$20,RawData,$A30,0))</f>
        <v>5.149</v>
      </c>
      <c r="AC30" s="80" t="n">
        <f aca="false">IF(ISERROR(VLOOKUP(AC$20,RawData,$A30,0)),0,VLOOKUP(AC$20,RawData,$A30,0))</f>
        <v>4.952</v>
      </c>
      <c r="AD30" s="80" t="n">
        <f aca="false">IF(ISERROR(VLOOKUP(AD$20,RawData,$A30,0)),0,VLOOKUP(AD$20,RawData,$A30,0))</f>
        <v>4.78</v>
      </c>
      <c r="AE30" s="80" t="n">
        <f aca="false">IF(ISERROR(VLOOKUP(AE$20,RawData,$A30,0)),0,VLOOKUP(AE$20,RawData,$A30,0))</f>
        <v>8.564</v>
      </c>
      <c r="AF30" s="80" t="n">
        <f aca="false">IF(ISERROR(VLOOKUP(AF$20,RawData,$A30,0)),0,VLOOKUP(AF$20,RawData,$A30,0))</f>
        <v>4.789</v>
      </c>
      <c r="AG30" s="80" t="n">
        <f aca="false">IF(ISERROR(VLOOKUP(AG$20,RawData,$A30,0)),0,VLOOKUP(AG$20,RawData,$A30,0))</f>
        <v>4.827</v>
      </c>
      <c r="AH30" s="80" t="n">
        <f aca="false">IF(ISERROR(VLOOKUP(AH$20,RawData,$A30,0)),0,VLOOKUP(AH$20,RawData,$A30,0))</f>
        <v>4.62</v>
      </c>
      <c r="AI30" s="80" t="n">
        <f aca="false">IF(ISERROR(VLOOKUP(AI$20,RawData,$A30,0)),0,VLOOKUP(AI$20,RawData,$A30,0))</f>
        <v>5.235</v>
      </c>
      <c r="AJ30" s="80" t="n">
        <f aca="false">IF(ISERROR(VLOOKUP(AJ$20,RawData,$A30,0)),0,VLOOKUP(AJ$20,RawData,$A30,0))</f>
        <v>5.235</v>
      </c>
      <c r="AK30" s="80" t="n">
        <f aca="false">IF(ISERROR(VLOOKUP(AK$20,RawData,$A30,0)),0,VLOOKUP(AK$20,RawData,$A30,0))</f>
        <v>5.413</v>
      </c>
      <c r="AL30" s="80" t="n">
        <f aca="false">IF(ISERROR(VLOOKUP(AL$20,RawData,$A30,0)),0,VLOOKUP(AL$20,RawData,$A30,0))</f>
        <v>5.019</v>
      </c>
      <c r="AM30" s="80" t="n">
        <f aca="false">IF(ISERROR(VLOOKUP(AM$20,RawData,$A30,0)),0,VLOOKUP(AM$20,RawData,$A30,0))</f>
        <v>3.984</v>
      </c>
      <c r="AN30" s="80" t="n">
        <f aca="false">IF(ISERROR(VLOOKUP(AN$20,RawData,$A30,0)),0,VLOOKUP(AN$20,RawData,$A30,0))</f>
        <v>3.911</v>
      </c>
      <c r="AO30" s="80" t="n">
        <f aca="false">IF(ISERROR(VLOOKUP(AO$20,RawData,$A30,0)),0,VLOOKUP(AO$20,RawData,$A30,0))</f>
        <v>3.24</v>
      </c>
      <c r="AP30" s="80" t="n">
        <f aca="false">IF(ISERROR(VLOOKUP(AP$20,RawData,$A30,0)),0,VLOOKUP(AP$20,RawData,$A30,0))</f>
        <v>3.24</v>
      </c>
      <c r="AQ30" s="80" t="n">
        <f aca="false">IF(ISERROR(VLOOKUP(AQ$20,RawData,$A30,0)),0,VLOOKUP(AQ$20,RawData,$A30,0))</f>
        <v>4.244</v>
      </c>
      <c r="AR30" s="80" t="n">
        <f aca="false">IF(ISERROR(VLOOKUP(AR$20,RawData,$A30,0)),0,VLOOKUP(AR$20,RawData,$A30,0))</f>
        <v>3.77</v>
      </c>
      <c r="AS30" s="81" t="n">
        <f aca="false">IF(ISERROR(VLOOKUP(AS$20,RawData,$A30,0)),0,VLOOKUP(AS$20,RawData,$A30,0))</f>
        <v>3.665</v>
      </c>
      <c r="AT30" s="81" t="n">
        <f aca="false">IF(ISERROR(VLOOKUP(AT$20,RawData,$A30,0)),0,VLOOKUP(AT$20,RawData,$A30,0))</f>
        <v>3.801</v>
      </c>
      <c r="AU30" s="81" t="n">
        <f aca="false">IF(ISERROR(VLOOKUP(AU$20,RawData,$A30,0)),0,VLOOKUP(AU$20,RawData,$A30,0))</f>
        <v>4.711</v>
      </c>
      <c r="AV30" s="81" t="n">
        <f aca="false">IF(ISERROR(VLOOKUP(AV$20,RawData,$A30,0)),0,VLOOKUP(AV$20,RawData,$A30,0))</f>
        <v>8.253</v>
      </c>
      <c r="AW30" s="81" t="n">
        <f aca="false">IF(ISERROR(VLOOKUP(AW$20,RawData,$A30,0)),0,VLOOKUP(AW$20,RawData,$A30,0))</f>
        <v>0</v>
      </c>
      <c r="AX30" s="81" t="n">
        <f aca="false">IF(ISERROR(VLOOKUP(AX$20,RawData,$A30,0)),0,VLOOKUP(AX$20,RawData,$A30,0))</f>
        <v>4.824</v>
      </c>
      <c r="AY30" s="81" t="n">
        <f aca="false">IF(ISERROR(VLOOKUP(AY$20,RawData,$A30,0)),0,VLOOKUP(AY$20,RawData,$A30,0))</f>
        <v>8.904</v>
      </c>
      <c r="AZ30" s="81" t="n">
        <f aca="false">IF(ISERROR(VLOOKUP(AZ$20,RawData,$A30,0)),0,VLOOKUP(AZ$20,RawData,$A30,0))</f>
        <v>9.021</v>
      </c>
      <c r="BA30" s="81" t="n">
        <f aca="false">IF(ISERROR(VLOOKUP(BA$20,RawData,$A30,0)),0,VLOOKUP(BA$20,RawData,$A30,0))</f>
        <v>9.30300000000001</v>
      </c>
      <c r="BB30" s="81" t="n">
        <f aca="false">IF(ISERROR(VLOOKUP(BB$20,RawData,$A30,0)),0,VLOOKUP(BB$20,RawData,$A30,0))</f>
        <v>8.957</v>
      </c>
      <c r="BC30" s="81" t="n">
        <f aca="false">IF(ISERROR(VLOOKUP(BC$20,RawData,$A30,0)),0,VLOOKUP(BC$20,RawData,$A30,0))</f>
        <v>8.748</v>
      </c>
      <c r="BD30" s="81" t="n">
        <f aca="false">IF(ISERROR(VLOOKUP(BD$20,RawData,$A30,0)),0,VLOOKUP(BD$20,RawData,$A30,0))</f>
        <v>6.01</v>
      </c>
      <c r="BE30" s="81" t="n">
        <f aca="false">IF(ISERROR(VLOOKUP(BE$20,RawData,$A30,0)),0,VLOOKUP(BE$20,RawData,$A30,0))</f>
        <v>0</v>
      </c>
      <c r="BF30" s="81" t="n">
        <f aca="false">IF(ISERROR(VLOOKUP(BF$20,RawData,$A30,0)),0,VLOOKUP(BF$20,RawData,$A30,0))</f>
        <v>6.199</v>
      </c>
      <c r="BG30" s="81" t="n">
        <f aca="false">IF(ISERROR(VLOOKUP(BG$20,RawData,$A30,0)),0,VLOOKUP(BG$20,RawData,$A30,0))</f>
        <v>7.781</v>
      </c>
      <c r="BH30" s="81" t="n">
        <f aca="false">IF(ISERROR(VLOOKUP(BH$20,RawData,$A30,0)),0,VLOOKUP(BH$20,RawData,$A30,0))</f>
        <v>6.905</v>
      </c>
      <c r="BI30" s="82" t="n">
        <f aca="false">IF(ISERROR(VLOOKUP(BI$20,RawData,$A30,0)),0,VLOOKUP(BI$20,RawData,$A30,0))</f>
        <v>0</v>
      </c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</row>
    <row r="31" customFormat="false" ht="15.75" hidden="false" customHeight="true" outlineLevel="0" collapsed="false">
      <c r="A31" s="78" t="n">
        <v>12</v>
      </c>
      <c r="B31" s="79" t="n">
        <f aca="false">IF(ISERROR(VLOOKUP(B$20,RawData,$A31,0)),0,VLOOKUP(B$20,RawData,$A31,0))</f>
        <v>0.62</v>
      </c>
      <c r="C31" s="80" t="n">
        <f aca="false">IF(ISERROR(VLOOKUP(C$20,RawData,$A31,0)),0,VLOOKUP(C$20,RawData,$A31,0))</f>
        <v>0.5513</v>
      </c>
      <c r="D31" s="80" t="n">
        <f aca="false">IF(ISERROR(VLOOKUP(D$20,RawData,$A31,0)),0,VLOOKUP(D$20,RawData,$A31,0))</f>
        <v>0.697</v>
      </c>
      <c r="E31" s="80" t="n">
        <f aca="false">IF(ISERROR(VLOOKUP(E$20,RawData,$A31,0)),0,VLOOKUP(E$20,RawData,$A31,0))</f>
        <v>0.592</v>
      </c>
      <c r="F31" s="80" t="n">
        <f aca="false">IF(ISERROR(VLOOKUP(F$20,RawData,$A31,0)),0,VLOOKUP(F$20,RawData,$A31,0))</f>
        <v>0.702</v>
      </c>
      <c r="G31" s="80" t="n">
        <f aca="false">IF(ISERROR(VLOOKUP(G$20,RawData,$A31,0)),0,VLOOKUP(G$20,RawData,$A31,0))</f>
        <v>0.668</v>
      </c>
      <c r="H31" s="80" t="n">
        <f aca="false">IF(ISERROR(VLOOKUP(H$20,RawData,$A31,0)),0,VLOOKUP(H$20,RawData,$A31,0))</f>
        <v>0.776</v>
      </c>
      <c r="I31" s="80" t="n">
        <f aca="false">IF(ISERROR(VLOOKUP(I$20,RawData,$A31,0)),0,VLOOKUP(I$20,RawData,$A31,0))</f>
        <v>0.698</v>
      </c>
      <c r="J31" s="80" t="n">
        <f aca="false">IF(ISERROR(VLOOKUP(J$20,RawData,$A31,0)),0,VLOOKUP(J$20,RawData,$A31,0))</f>
        <v>0.705</v>
      </c>
      <c r="K31" s="80" t="n">
        <f aca="false">IF(ISERROR(VLOOKUP(K$20,RawData,$A31,0)),0,VLOOKUP(K$20,RawData,$A31,0))</f>
        <v>0.802</v>
      </c>
      <c r="L31" s="80" t="n">
        <f aca="false">IF(ISERROR(VLOOKUP(L$20,RawData,$A31,0)),0,VLOOKUP(L$20,RawData,$A31,0))</f>
        <v>0.949274743767535</v>
      </c>
      <c r="M31" s="80" t="n">
        <f aca="false">IF(ISERROR(VLOOKUP(M$20,RawData,$A31,0)),0,VLOOKUP(M$20,RawData,$A31,0))</f>
        <v>0.949303908427994</v>
      </c>
      <c r="N31" s="80" t="n">
        <f aca="false">IF(ISERROR(VLOOKUP(N$20,RawData,$A31,0)),0,VLOOKUP(N$20,RawData,$A31,0))</f>
        <v>0.69687775287813</v>
      </c>
      <c r="O31" s="80" t="n">
        <f aca="false">IF(ISERROR(VLOOKUP(O$20,RawData,$A31,0)),0,VLOOKUP(O$20,RawData,$A31,0))</f>
        <v>0.695783665263525</v>
      </c>
      <c r="P31" s="80" t="n">
        <f aca="false">IF(ISERROR(VLOOKUP(P$20,RawData,$A31,0)),0,VLOOKUP(P$20,RawData,$A31,0))</f>
        <v>0.715498525388372</v>
      </c>
      <c r="Q31" s="80" t="n">
        <f aca="false">IF(ISERROR(VLOOKUP(Q$20,RawData,$A31,0)),0,VLOOKUP(Q$20,RawData,$A31,0))</f>
        <v>0.769400000572205</v>
      </c>
      <c r="R31" s="80" t="n">
        <f aca="false">IF(ISERROR(VLOOKUP(R$20,RawData,$A31,0)),0,VLOOKUP(R$20,RawData,$A31,0))</f>
        <v>0.626</v>
      </c>
      <c r="S31" s="80" t="n">
        <f aca="false">IF(ISERROR(VLOOKUP(S$20,RawData,$A31,0)),0,VLOOKUP(S$20,RawData,$A31,0))</f>
        <v>0.626</v>
      </c>
      <c r="T31" s="80" t="n">
        <f aca="false">IF(ISERROR(VLOOKUP(T$20,RawData,$A31,0)),0,VLOOKUP(T$20,RawData,$A31,0))</f>
        <v>0.694532701298378</v>
      </c>
      <c r="U31" s="80" t="n">
        <f aca="false">IF(ISERROR(VLOOKUP(U$20,RawData,$A31,0)),0,VLOOKUP(U$20,RawData,$A31,0))</f>
        <v>0.693949774228116</v>
      </c>
      <c r="V31" s="80" t="n">
        <f aca="false">IF(ISERROR(VLOOKUP(V$20,RawData,$A31,0)),0,VLOOKUP(V$20,RawData,$A31,0))</f>
        <v>0.772059422793529</v>
      </c>
      <c r="W31" s="80" t="n">
        <f aca="false">IF(ISERROR(VLOOKUP(W$20,RawData,$A31,0)),0,VLOOKUP(W$20,RawData,$A31,0))</f>
        <v>0.699</v>
      </c>
      <c r="X31" s="80" t="n">
        <f aca="false">IF(ISERROR(VLOOKUP(X$20,RawData,$A31,0)),0,VLOOKUP(X$20,RawData,$A31,0))</f>
        <v>0.45</v>
      </c>
      <c r="Y31" s="80" t="n">
        <f aca="false">IF(ISERROR(VLOOKUP(Y$20,RawData,$A31,0)),0,VLOOKUP(Y$20,RawData,$A31,0))</f>
        <v>0.996</v>
      </c>
      <c r="Z31" s="80" t="n">
        <f aca="false">IF(ISERROR(VLOOKUP(Z$20,RawData,$A31,0)),0,VLOOKUP(Z$20,RawData,$A31,0))</f>
        <v>0.989</v>
      </c>
      <c r="AA31" s="80" t="n">
        <f aca="false">IF(ISERROR(VLOOKUP(AA$20,RawData,$A31,0)),0,VLOOKUP(AA$20,RawData,$A31,0))</f>
        <v>0</v>
      </c>
      <c r="AB31" s="80" t="n">
        <f aca="false">IF(ISERROR(VLOOKUP(AB$20,RawData,$A31,0)),0,VLOOKUP(AB$20,RawData,$A31,0))</f>
        <v>0.803</v>
      </c>
      <c r="AC31" s="80" t="n">
        <f aca="false">IF(ISERROR(VLOOKUP(AC$20,RawData,$A31,0)),0,VLOOKUP(AC$20,RawData,$A31,0))</f>
        <v>0.774000000000001</v>
      </c>
      <c r="AD31" s="80" t="n">
        <f aca="false">IF(ISERROR(VLOOKUP(AD$20,RawData,$A31,0)),0,VLOOKUP(AD$20,RawData,$A31,0))</f>
        <v>0.671</v>
      </c>
      <c r="AE31" s="80" t="n">
        <f aca="false">IF(ISERROR(VLOOKUP(AE$20,RawData,$A31,0)),0,VLOOKUP(AE$20,RawData,$A31,0))</f>
        <v>1.292</v>
      </c>
      <c r="AF31" s="80" t="n">
        <f aca="false">IF(ISERROR(VLOOKUP(AF$20,RawData,$A31,0)),0,VLOOKUP(AF$20,RawData,$A31,0))</f>
        <v>0.759</v>
      </c>
      <c r="AG31" s="80" t="n">
        <f aca="false">IF(ISERROR(VLOOKUP(AG$20,RawData,$A31,0)),0,VLOOKUP(AG$20,RawData,$A31,0))</f>
        <v>0.733</v>
      </c>
      <c r="AH31" s="80" t="n">
        <f aca="false">IF(ISERROR(VLOOKUP(AH$20,RawData,$A31,0)),0,VLOOKUP(AH$20,RawData,$A31,0))</f>
        <v>0.685</v>
      </c>
      <c r="AI31" s="80" t="n">
        <f aca="false">IF(ISERROR(VLOOKUP(AI$20,RawData,$A31,0)),0,VLOOKUP(AI$20,RawData,$A31,0))</f>
        <v>0.841</v>
      </c>
      <c r="AJ31" s="80" t="n">
        <f aca="false">IF(ISERROR(VLOOKUP(AJ$20,RawData,$A31,0)),0,VLOOKUP(AJ$20,RawData,$A31,0))</f>
        <v>0.841</v>
      </c>
      <c r="AK31" s="80" t="n">
        <f aca="false">IF(ISERROR(VLOOKUP(AK$20,RawData,$A31,0)),0,VLOOKUP(AK$20,RawData,$A31,0))</f>
        <v>0.759</v>
      </c>
      <c r="AL31" s="80" t="n">
        <f aca="false">IF(ISERROR(VLOOKUP(AL$20,RawData,$A31,0)),0,VLOOKUP(AL$20,RawData,$A31,0))</f>
        <v>0.807</v>
      </c>
      <c r="AM31" s="80" t="n">
        <f aca="false">IF(ISERROR(VLOOKUP(AM$20,RawData,$A31,0)),0,VLOOKUP(AM$20,RawData,$A31,0))</f>
        <v>0.643</v>
      </c>
      <c r="AN31" s="80" t="n">
        <f aca="false">IF(ISERROR(VLOOKUP(AN$20,RawData,$A31,0)),0,VLOOKUP(AN$20,RawData,$A31,0))</f>
        <v>0.559</v>
      </c>
      <c r="AO31" s="80" t="n">
        <f aca="false">IF(ISERROR(VLOOKUP(AO$20,RawData,$A31,0)),0,VLOOKUP(AO$20,RawData,$A31,0))</f>
        <v>0.432</v>
      </c>
      <c r="AP31" s="80" t="n">
        <f aca="false">IF(ISERROR(VLOOKUP(AP$20,RawData,$A31,0)),0,VLOOKUP(AP$20,RawData,$A31,0))</f>
        <v>0.432</v>
      </c>
      <c r="AQ31" s="80" t="n">
        <f aca="false">IF(ISERROR(VLOOKUP(AQ$20,RawData,$A31,0)),0,VLOOKUP(AQ$20,RawData,$A31,0))</f>
        <v>0.497</v>
      </c>
      <c r="AR31" s="80" t="n">
        <f aca="false">IF(ISERROR(VLOOKUP(AR$20,RawData,$A31,0)),0,VLOOKUP(AR$20,RawData,$A31,0))</f>
        <v>0.51</v>
      </c>
      <c r="AS31" s="81" t="n">
        <f aca="false">IF(ISERROR(VLOOKUP(AS$20,RawData,$A31,0)),0,VLOOKUP(AS$20,RawData,$A31,0))</f>
        <v>0.5</v>
      </c>
      <c r="AT31" s="81" t="n">
        <f aca="false">IF(ISERROR(VLOOKUP(AT$20,RawData,$A31,0)),0,VLOOKUP(AT$20,RawData,$A31,0))</f>
        <v>0.53</v>
      </c>
      <c r="AU31" s="81" t="n">
        <f aca="false">IF(ISERROR(VLOOKUP(AU$20,RawData,$A31,0)),0,VLOOKUP(AU$20,RawData,$A31,0))</f>
        <v>0.606</v>
      </c>
      <c r="AV31" s="81" t="n">
        <f aca="false">IF(ISERROR(VLOOKUP(AV$20,RawData,$A31,0)),0,VLOOKUP(AV$20,RawData,$A31,0))</f>
        <v>0.986</v>
      </c>
      <c r="AW31" s="81" t="n">
        <f aca="false">IF(ISERROR(VLOOKUP(AW$20,RawData,$A31,0)),0,VLOOKUP(AW$20,RawData,$A31,0))</f>
        <v>0</v>
      </c>
      <c r="AX31" s="81" t="n">
        <f aca="false">IF(ISERROR(VLOOKUP(AX$20,RawData,$A31,0)),0,VLOOKUP(AX$20,RawData,$A31,0))</f>
        <v>0.675</v>
      </c>
      <c r="AY31" s="81" t="n">
        <f aca="false">IF(ISERROR(VLOOKUP(AY$20,RawData,$A31,0)),0,VLOOKUP(AY$20,RawData,$A31,0))</f>
        <v>0.965</v>
      </c>
      <c r="AZ31" s="81" t="n">
        <f aca="false">IF(ISERROR(VLOOKUP(AZ$20,RawData,$A31,0)),0,VLOOKUP(AZ$20,RawData,$A31,0))</f>
        <v>1.124</v>
      </c>
      <c r="BA31" s="81" t="n">
        <f aca="false">IF(ISERROR(VLOOKUP(BA$20,RawData,$A31,0)),0,VLOOKUP(BA$20,RawData,$A31,0))</f>
        <v>1.09</v>
      </c>
      <c r="BB31" s="81" t="n">
        <f aca="false">IF(ISERROR(VLOOKUP(BB$20,RawData,$A31,0)),0,VLOOKUP(BB$20,RawData,$A31,0))</f>
        <v>0.956</v>
      </c>
      <c r="BC31" s="81" t="n">
        <f aca="false">IF(ISERROR(VLOOKUP(BC$20,RawData,$A31,0)),0,VLOOKUP(BC$20,RawData,$A31,0))</f>
        <v>1.033</v>
      </c>
      <c r="BD31" s="81" t="n">
        <f aca="false">IF(ISERROR(VLOOKUP(BD$20,RawData,$A31,0)),0,VLOOKUP(BD$20,RawData,$A31,0))</f>
        <v>0.761</v>
      </c>
      <c r="BE31" s="81" t="n">
        <f aca="false">IF(ISERROR(VLOOKUP(BE$20,RawData,$A31,0)),0,VLOOKUP(BE$20,RawData,$A31,0))</f>
        <v>0</v>
      </c>
      <c r="BF31" s="81" t="n">
        <f aca="false">IF(ISERROR(VLOOKUP(BF$20,RawData,$A31,0)),0,VLOOKUP(BF$20,RawData,$A31,0))</f>
        <v>0.854</v>
      </c>
      <c r="BG31" s="81" t="n">
        <f aca="false">IF(ISERROR(VLOOKUP(BG$20,RawData,$A31,0)),0,VLOOKUP(BG$20,RawData,$A31,0))</f>
        <v>0.784</v>
      </c>
      <c r="BH31" s="81" t="n">
        <f aca="false">IF(ISERROR(VLOOKUP(BH$20,RawData,$A31,0)),0,VLOOKUP(BH$20,RawData,$A31,0))</f>
        <v>1.013</v>
      </c>
      <c r="BI31" s="82" t="n">
        <f aca="false">IF(ISERROR(VLOOKUP(BI$20,RawData,$A31,0)),0,VLOOKUP(BI$20,RawData,$A31,0))</f>
        <v>0</v>
      </c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</row>
    <row r="32" customFormat="false" ht="15.75" hidden="false" customHeight="true" outlineLevel="0" collapsed="false">
      <c r="A32" s="78" t="n">
        <v>13</v>
      </c>
      <c r="B32" s="79" t="n">
        <f aca="false">IF(ISERROR(VLOOKUP(B$20,RawData,$A32,0)),0,VLOOKUP(B$20,RawData,$A32,0))</f>
        <v>1.089</v>
      </c>
      <c r="C32" s="80" t="n">
        <f aca="false">IF(ISERROR(VLOOKUP(C$20,RawData,$A32,0)),0,VLOOKUP(C$20,RawData,$A32,0))</f>
        <v>0.9395</v>
      </c>
      <c r="D32" s="80" t="n">
        <f aca="false">IF(ISERROR(VLOOKUP(D$20,RawData,$A32,0)),0,VLOOKUP(D$20,RawData,$A32,0))</f>
        <v>1.341</v>
      </c>
      <c r="E32" s="80" t="n">
        <f aca="false">IF(ISERROR(VLOOKUP(E$20,RawData,$A32,0)),0,VLOOKUP(E$20,RawData,$A32,0))</f>
        <v>1</v>
      </c>
      <c r="F32" s="80" t="n">
        <f aca="false">IF(ISERROR(VLOOKUP(F$20,RawData,$A32,0)),0,VLOOKUP(F$20,RawData,$A32,0))</f>
        <v>1.436</v>
      </c>
      <c r="G32" s="80" t="n">
        <f aca="false">IF(ISERROR(VLOOKUP(G$20,RawData,$A32,0)),0,VLOOKUP(G$20,RawData,$A32,0))</f>
        <v>1.343</v>
      </c>
      <c r="H32" s="80" t="n">
        <f aca="false">IF(ISERROR(VLOOKUP(H$20,RawData,$A32,0)),0,VLOOKUP(H$20,RawData,$A32,0))</f>
        <v>1.517</v>
      </c>
      <c r="I32" s="80" t="n">
        <f aca="false">IF(ISERROR(VLOOKUP(I$20,RawData,$A32,0)),0,VLOOKUP(I$20,RawData,$A32,0))</f>
        <v>1.331</v>
      </c>
      <c r="J32" s="80" t="n">
        <f aca="false">IF(ISERROR(VLOOKUP(J$20,RawData,$A32,0)),0,VLOOKUP(J$20,RawData,$A32,0))</f>
        <v>1.318</v>
      </c>
      <c r="K32" s="80" t="n">
        <f aca="false">IF(ISERROR(VLOOKUP(K$20,RawData,$A32,0)),0,VLOOKUP(K$20,RawData,$A32,0))</f>
        <v>1.866</v>
      </c>
      <c r="L32" s="80" t="n">
        <f aca="false">IF(ISERROR(VLOOKUP(L$20,RawData,$A32,0)),0,VLOOKUP(L$20,RawData,$A32,0))</f>
        <v>1.7945837994806</v>
      </c>
      <c r="M32" s="80" t="n">
        <f aca="false">IF(ISERROR(VLOOKUP(M$20,RawData,$A32,0)),0,VLOOKUP(M$20,RawData,$A32,0))</f>
        <v>1.79456191047132</v>
      </c>
      <c r="N32" s="80" t="n">
        <f aca="false">IF(ISERROR(VLOOKUP(N$20,RawData,$A32,0)),0,VLOOKUP(N$20,RawData,$A32,0))</f>
        <v>1.47066420865023</v>
      </c>
      <c r="O32" s="80" t="n">
        <f aca="false">IF(ISERROR(VLOOKUP(O$20,RawData,$A32,0)),0,VLOOKUP(O$20,RawData,$A32,0))</f>
        <v>1.46754235926495</v>
      </c>
      <c r="P32" s="80" t="n">
        <f aca="false">IF(ISERROR(VLOOKUP(P$20,RawData,$A32,0)),0,VLOOKUP(P$20,RawData,$A32,0))</f>
        <v>1.5140556198984</v>
      </c>
      <c r="Q32" s="80" t="n">
        <f aca="false">IF(ISERROR(VLOOKUP(Q$20,RawData,$A32,0)),0,VLOOKUP(Q$20,RawData,$A32,0))</f>
        <v>1.67200005054474</v>
      </c>
      <c r="R32" s="80" t="n">
        <f aca="false">IF(ISERROR(VLOOKUP(R$20,RawData,$A32,0)),0,VLOOKUP(R$20,RawData,$A32,0))</f>
        <v>1.321</v>
      </c>
      <c r="S32" s="80" t="n">
        <f aca="false">IF(ISERROR(VLOOKUP(S$20,RawData,$A32,0)),0,VLOOKUP(S$20,RawData,$A32,0))</f>
        <v>1.321</v>
      </c>
      <c r="T32" s="80" t="n">
        <f aca="false">IF(ISERROR(VLOOKUP(T$20,RawData,$A32,0)),0,VLOOKUP(T$20,RawData,$A32,0))</f>
        <v>1.38931661717306</v>
      </c>
      <c r="U32" s="80" t="n">
        <f aca="false">IF(ISERROR(VLOOKUP(U$20,RawData,$A32,0)),0,VLOOKUP(U$20,RawData,$A32,0))</f>
        <v>1.3857839128343</v>
      </c>
      <c r="V32" s="80" t="n">
        <f aca="false">IF(ISERROR(VLOOKUP(V$20,RawData,$A32,0)),0,VLOOKUP(V$20,RawData,$A32,0))</f>
        <v>1.70336529291086</v>
      </c>
      <c r="W32" s="80" t="n">
        <f aca="false">IF(ISERROR(VLOOKUP(W$20,RawData,$A32,0)),0,VLOOKUP(W$20,RawData,$A32,0))</f>
        <v>1.528</v>
      </c>
      <c r="X32" s="80" t="n">
        <f aca="false">IF(ISERROR(VLOOKUP(X$20,RawData,$A32,0)),0,VLOOKUP(X$20,RawData,$A32,0))</f>
        <v>1.099</v>
      </c>
      <c r="Y32" s="80" t="n">
        <f aca="false">IF(ISERROR(VLOOKUP(Y$20,RawData,$A32,0)),0,VLOOKUP(Y$20,RawData,$A32,0))</f>
        <v>3.193</v>
      </c>
      <c r="Z32" s="80" t="n">
        <f aca="false">IF(ISERROR(VLOOKUP(Z$20,RawData,$A32,0)),0,VLOOKUP(Z$20,RawData,$A32,0))</f>
        <v>3.134</v>
      </c>
      <c r="AA32" s="80" t="n">
        <f aca="false">IF(ISERROR(VLOOKUP(AA$20,RawData,$A32,0)),0,VLOOKUP(AA$20,RawData,$A32,0))</f>
        <v>0</v>
      </c>
      <c r="AB32" s="80" t="n">
        <f aca="false">IF(ISERROR(VLOOKUP(AB$20,RawData,$A32,0)),0,VLOOKUP(AB$20,RawData,$A32,0))</f>
        <v>1.744</v>
      </c>
      <c r="AC32" s="80" t="n">
        <f aca="false">IF(ISERROR(VLOOKUP(AC$20,RawData,$A32,0)),0,VLOOKUP(AC$20,RawData,$A32,0))</f>
        <v>1.717</v>
      </c>
      <c r="AD32" s="80" t="n">
        <f aca="false">IF(ISERROR(VLOOKUP(AD$20,RawData,$A32,0)),0,VLOOKUP(AD$20,RawData,$A32,0))</f>
        <v>1.498</v>
      </c>
      <c r="AE32" s="80" t="n">
        <f aca="false">IF(ISERROR(VLOOKUP(AE$20,RawData,$A32,0)),0,VLOOKUP(AE$20,RawData,$A32,0))</f>
        <v>2.95</v>
      </c>
      <c r="AF32" s="80" t="n">
        <f aca="false">IF(ISERROR(VLOOKUP(AF$20,RawData,$A32,0)),0,VLOOKUP(AF$20,RawData,$A32,0))</f>
        <v>1.644</v>
      </c>
      <c r="AG32" s="80" t="n">
        <f aca="false">IF(ISERROR(VLOOKUP(AG$20,RawData,$A32,0)),0,VLOOKUP(AG$20,RawData,$A32,0))</f>
        <v>1.5</v>
      </c>
      <c r="AH32" s="80" t="n">
        <f aca="false">IF(ISERROR(VLOOKUP(AH$20,RawData,$A32,0)),0,VLOOKUP(AH$20,RawData,$A32,0))</f>
        <v>1.487</v>
      </c>
      <c r="AI32" s="80" t="n">
        <f aca="false">IF(ISERROR(VLOOKUP(AI$20,RawData,$A32,0)),0,VLOOKUP(AI$20,RawData,$A32,0))</f>
        <v>1.873</v>
      </c>
      <c r="AJ32" s="80" t="n">
        <f aca="false">IF(ISERROR(VLOOKUP(AJ$20,RawData,$A32,0)),0,VLOOKUP(AJ$20,RawData,$A32,0))</f>
        <v>1.873</v>
      </c>
      <c r="AK32" s="80" t="n">
        <f aca="false">IF(ISERROR(VLOOKUP(AK$20,RawData,$A32,0)),0,VLOOKUP(AK$20,RawData,$A32,0))</f>
        <v>1.676</v>
      </c>
      <c r="AL32" s="80" t="n">
        <f aca="false">IF(ISERROR(VLOOKUP(AL$20,RawData,$A32,0)),0,VLOOKUP(AL$20,RawData,$A32,0))</f>
        <v>1.755</v>
      </c>
      <c r="AM32" s="80" t="n">
        <f aca="false">IF(ISERROR(VLOOKUP(AM$20,RawData,$A32,0)),0,VLOOKUP(AM$20,RawData,$A32,0))</f>
        <v>1.174</v>
      </c>
      <c r="AN32" s="80" t="n">
        <f aca="false">IF(ISERROR(VLOOKUP(AN$20,RawData,$A32,0)),0,VLOOKUP(AN$20,RawData,$A32,0))</f>
        <v>1.238</v>
      </c>
      <c r="AO32" s="80" t="n">
        <f aca="false">IF(ISERROR(VLOOKUP(AO$20,RawData,$A32,0)),0,VLOOKUP(AO$20,RawData,$A32,0))</f>
        <v>1.094</v>
      </c>
      <c r="AP32" s="80" t="n">
        <f aca="false">IF(ISERROR(VLOOKUP(AP$20,RawData,$A32,0)),0,VLOOKUP(AP$20,RawData,$A32,0))</f>
        <v>1.094</v>
      </c>
      <c r="AQ32" s="80" t="n">
        <f aca="false">IF(ISERROR(VLOOKUP(AQ$20,RawData,$A32,0)),0,VLOOKUP(AQ$20,RawData,$A32,0))</f>
        <v>1.429</v>
      </c>
      <c r="AR32" s="80" t="n">
        <f aca="false">IF(ISERROR(VLOOKUP(AR$20,RawData,$A32,0)),0,VLOOKUP(AR$20,RawData,$A32,0))</f>
        <v>1.289</v>
      </c>
      <c r="AS32" s="81" t="n">
        <f aca="false">IF(ISERROR(VLOOKUP(AS$20,RawData,$A32,0)),0,VLOOKUP(AS$20,RawData,$A32,0))</f>
        <v>1.279</v>
      </c>
      <c r="AT32" s="81" t="n">
        <f aca="false">IF(ISERROR(VLOOKUP(AT$20,RawData,$A32,0)),0,VLOOKUP(AT$20,RawData,$A32,0))</f>
        <v>1.449</v>
      </c>
      <c r="AU32" s="81" t="n">
        <f aca="false">IF(ISERROR(VLOOKUP(AU$20,RawData,$A32,0)),0,VLOOKUP(AU$20,RawData,$A32,0))</f>
        <v>1.747</v>
      </c>
      <c r="AV32" s="81" t="n">
        <f aca="false">IF(ISERROR(VLOOKUP(AV$20,RawData,$A32,0)),0,VLOOKUP(AV$20,RawData,$A32,0))</f>
        <v>2.889</v>
      </c>
      <c r="AW32" s="81" t="n">
        <f aca="false">IF(ISERROR(VLOOKUP(AW$20,RawData,$A32,0)),0,VLOOKUP(AW$20,RawData,$A32,0))</f>
        <v>0</v>
      </c>
      <c r="AX32" s="81" t="n">
        <f aca="false">IF(ISERROR(VLOOKUP(AX$20,RawData,$A32,0)),0,VLOOKUP(AX$20,RawData,$A32,0))</f>
        <v>1.477</v>
      </c>
      <c r="AY32" s="81" t="n">
        <f aca="false">IF(ISERROR(VLOOKUP(AY$20,RawData,$A32,0)),0,VLOOKUP(AY$20,RawData,$A32,0))</f>
        <v>3.087</v>
      </c>
      <c r="AZ32" s="81" t="n">
        <f aca="false">IF(ISERROR(VLOOKUP(AZ$20,RawData,$A32,0)),0,VLOOKUP(AZ$20,RawData,$A32,0))</f>
        <v>3.668</v>
      </c>
      <c r="BA32" s="81" t="n">
        <f aca="false">IF(ISERROR(VLOOKUP(BA$20,RawData,$A32,0)),0,VLOOKUP(BA$20,RawData,$A32,0))</f>
        <v>3.269</v>
      </c>
      <c r="BB32" s="81" t="n">
        <f aca="false">IF(ISERROR(VLOOKUP(BB$20,RawData,$A32,0)),0,VLOOKUP(BB$20,RawData,$A32,0))</f>
        <v>2.885</v>
      </c>
      <c r="BC32" s="81" t="n">
        <f aca="false">IF(ISERROR(VLOOKUP(BC$20,RawData,$A32,0)),0,VLOOKUP(BC$20,RawData,$A32,0))</f>
        <v>3.276</v>
      </c>
      <c r="BD32" s="81" t="n">
        <f aca="false">IF(ISERROR(VLOOKUP(BD$20,RawData,$A32,0)),0,VLOOKUP(BD$20,RawData,$A32,0))</f>
        <v>2.32</v>
      </c>
      <c r="BE32" s="81" t="n">
        <f aca="false">IF(ISERROR(VLOOKUP(BE$20,RawData,$A32,0)),0,VLOOKUP(BE$20,RawData,$A32,0))</f>
        <v>0</v>
      </c>
      <c r="BF32" s="81" t="n">
        <f aca="false">IF(ISERROR(VLOOKUP(BF$20,RawData,$A32,0)),0,VLOOKUP(BF$20,RawData,$A32,0))</f>
        <v>2.076</v>
      </c>
      <c r="BG32" s="81" t="n">
        <f aca="false">IF(ISERROR(VLOOKUP(BG$20,RawData,$A32,0)),0,VLOOKUP(BG$20,RawData,$A32,0))</f>
        <v>2.504</v>
      </c>
      <c r="BH32" s="81" t="n">
        <f aca="false">IF(ISERROR(VLOOKUP(BH$20,RawData,$A32,0)),0,VLOOKUP(BH$20,RawData,$A32,0))</f>
        <v>2.475</v>
      </c>
      <c r="BI32" s="82" t="n">
        <f aca="false">IF(ISERROR(VLOOKUP(BI$20,RawData,$A32,0)),0,VLOOKUP(BI$20,RawData,$A32,0))</f>
        <v>0</v>
      </c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</row>
    <row r="33" customFormat="false" ht="15.75" hidden="false" customHeight="true" outlineLevel="0" collapsed="false">
      <c r="A33" s="78" t="n">
        <v>14</v>
      </c>
      <c r="B33" s="79" t="n">
        <f aca="false">IF(ISERROR(VLOOKUP(B$20,RawData,$A33,0)),0,VLOOKUP(B$20,RawData,$A33,0))</f>
        <v>0.289</v>
      </c>
      <c r="C33" s="80" t="n">
        <f aca="false">IF(ISERROR(VLOOKUP(C$20,RawData,$A33,0)),0,VLOOKUP(C$20,RawData,$A33,0))</f>
        <v>0.2186</v>
      </c>
      <c r="D33" s="80" t="n">
        <f aca="false">IF(ISERROR(VLOOKUP(D$20,RawData,$A33,0)),0,VLOOKUP(D$20,RawData,$A33,0))</f>
        <v>0.376</v>
      </c>
      <c r="E33" s="80" t="n">
        <f aca="false">IF(ISERROR(VLOOKUP(E$20,RawData,$A33,0)),0,VLOOKUP(E$20,RawData,$A33,0))</f>
        <v>0.176</v>
      </c>
      <c r="F33" s="80" t="n">
        <f aca="false">IF(ISERROR(VLOOKUP(F$20,RawData,$A33,0)),0,VLOOKUP(F$20,RawData,$A33,0))</f>
        <v>0.363</v>
      </c>
      <c r="G33" s="80" t="n">
        <f aca="false">IF(ISERROR(VLOOKUP(G$20,RawData,$A33,0)),0,VLOOKUP(G$20,RawData,$A33,0))</f>
        <v>0.308</v>
      </c>
      <c r="H33" s="80" t="n">
        <f aca="false">IF(ISERROR(VLOOKUP(H$20,RawData,$A33,0)),0,VLOOKUP(H$20,RawData,$A33,0))</f>
        <v>0.431</v>
      </c>
      <c r="I33" s="80" t="n">
        <f aca="false">IF(ISERROR(VLOOKUP(I$20,RawData,$A33,0)),0,VLOOKUP(I$20,RawData,$A33,0))</f>
        <v>0.336</v>
      </c>
      <c r="J33" s="80" t="n">
        <f aca="false">IF(ISERROR(VLOOKUP(J$20,RawData,$A33,0)),0,VLOOKUP(J$20,RawData,$A33,0))</f>
        <v>0.372</v>
      </c>
      <c r="K33" s="80" t="n">
        <f aca="false">IF(ISERROR(VLOOKUP(K$20,RawData,$A33,0)),0,VLOOKUP(K$20,RawData,$A33,0))</f>
        <v>0.455</v>
      </c>
      <c r="L33" s="80" t="n">
        <f aca="false">IF(ISERROR(VLOOKUP(L$20,RawData,$A33,0)),0,VLOOKUP(L$20,RawData,$A33,0))</f>
        <v>0.597222247268506</v>
      </c>
      <c r="M33" s="80" t="n">
        <f aca="false">IF(ISERROR(VLOOKUP(M$20,RawData,$A33,0)),0,VLOOKUP(M$20,RawData,$A33,0))</f>
        <v>0.597265415316484</v>
      </c>
      <c r="N33" s="80" t="n">
        <f aca="false">IF(ISERROR(VLOOKUP(N$20,RawData,$A33,0)),0,VLOOKUP(N$20,RawData,$A33,0))</f>
        <v>0.371587871304939</v>
      </c>
      <c r="O33" s="80" t="n">
        <f aca="false">IF(ISERROR(VLOOKUP(O$20,RawData,$A33,0)),0,VLOOKUP(O$20,RawData,$A33,0))</f>
        <v>0.370649128271047</v>
      </c>
      <c r="P33" s="80" t="n">
        <f aca="false">IF(ISERROR(VLOOKUP(P$20,RawData,$A33,0)),0,VLOOKUP(P$20,RawData,$A33,0))</f>
        <v>0.383944926826199</v>
      </c>
      <c r="Q33" s="80" t="n">
        <f aca="false">IF(ISERROR(VLOOKUP(Q$20,RawData,$A33,0)),0,VLOOKUP(Q$20,RawData,$A33,0))</f>
        <v>0.427799999713898</v>
      </c>
      <c r="R33" s="80" t="n">
        <f aca="false">IF(ISERROR(VLOOKUP(R$20,RawData,$A33,0)),0,VLOOKUP(R$20,RawData,$A33,0))</f>
        <v>0.321</v>
      </c>
      <c r="S33" s="80" t="n">
        <f aca="false">IF(ISERROR(VLOOKUP(S$20,RawData,$A33,0)),0,VLOOKUP(S$20,RawData,$A33,0))</f>
        <v>0.321</v>
      </c>
      <c r="T33" s="80" t="n">
        <f aca="false">IF(ISERROR(VLOOKUP(T$20,RawData,$A33,0)),0,VLOOKUP(T$20,RawData,$A33,0))</f>
        <v>0.361497121940463</v>
      </c>
      <c r="U33" s="80" t="n">
        <f aca="false">IF(ISERROR(VLOOKUP(U$20,RawData,$A33,0)),0,VLOOKUP(U$20,RawData,$A33,0))</f>
        <v>0.360322510523181</v>
      </c>
      <c r="V33" s="80" t="n">
        <f aca="false">IF(ISERROR(VLOOKUP(V$20,RawData,$A33,0)),0,VLOOKUP(V$20,RawData,$A33,0))</f>
        <v>0.424818904481619</v>
      </c>
      <c r="W33" s="80" t="n">
        <f aca="false">IF(ISERROR(VLOOKUP(W$20,RawData,$A33,0)),0,VLOOKUP(W$20,RawData,$A33,0))</f>
        <v>0.509</v>
      </c>
      <c r="X33" s="80" t="n">
        <f aca="false">IF(ISERROR(VLOOKUP(X$20,RawData,$A33,0)),0,VLOOKUP(X$20,RawData,$A33,0))</f>
        <v>0.289</v>
      </c>
      <c r="Y33" s="80" t="n">
        <f aca="false">IF(ISERROR(VLOOKUP(Y$20,RawData,$A33,0)),0,VLOOKUP(Y$20,RawData,$A33,0))</f>
        <v>0.671</v>
      </c>
      <c r="Z33" s="80" t="n">
        <f aca="false">IF(ISERROR(VLOOKUP(Z$20,RawData,$A33,0)),0,VLOOKUP(Z$20,RawData,$A33,0))</f>
        <v>0.728</v>
      </c>
      <c r="AA33" s="80" t="n">
        <f aca="false">IF(ISERROR(VLOOKUP(AA$20,RawData,$A33,0)),0,VLOOKUP(AA$20,RawData,$A33,0))</f>
        <v>0</v>
      </c>
      <c r="AB33" s="80" t="n">
        <f aca="false">IF(ISERROR(VLOOKUP(AB$20,RawData,$A33,0)),0,VLOOKUP(AB$20,RawData,$A33,0))</f>
        <v>0.532</v>
      </c>
      <c r="AC33" s="80" t="n">
        <f aca="false">IF(ISERROR(VLOOKUP(AC$20,RawData,$A33,0)),0,VLOOKUP(AC$20,RawData,$A33,0))</f>
        <v>0.462</v>
      </c>
      <c r="AD33" s="80" t="n">
        <f aca="false">IF(ISERROR(VLOOKUP(AD$20,RawData,$A33,0)),0,VLOOKUP(AD$20,RawData,$A33,0))</f>
        <v>0.369</v>
      </c>
      <c r="AE33" s="80" t="n">
        <f aca="false">IF(ISERROR(VLOOKUP(AE$20,RawData,$A33,0)),0,VLOOKUP(AE$20,RawData,$A33,0))</f>
        <v>0.595</v>
      </c>
      <c r="AF33" s="80" t="n">
        <f aca="false">IF(ISERROR(VLOOKUP(AF$20,RawData,$A33,0)),0,VLOOKUP(AF$20,RawData,$A33,0))</f>
        <v>0.446</v>
      </c>
      <c r="AG33" s="80" t="n">
        <f aca="false">IF(ISERROR(VLOOKUP(AG$20,RawData,$A33,0)),0,VLOOKUP(AG$20,RawData,$A33,0))</f>
        <v>0.364</v>
      </c>
      <c r="AH33" s="80" t="n">
        <f aca="false">IF(ISERROR(VLOOKUP(AH$20,RawData,$A33,0)),0,VLOOKUP(AH$20,RawData,$A33,0))</f>
        <v>0.381</v>
      </c>
      <c r="AI33" s="80" t="n">
        <f aca="false">IF(ISERROR(VLOOKUP(AI$20,RawData,$A33,0)),0,VLOOKUP(AI$20,RawData,$A33,0))</f>
        <v>0.515</v>
      </c>
      <c r="AJ33" s="80" t="n">
        <f aca="false">IF(ISERROR(VLOOKUP(AJ$20,RawData,$A33,0)),0,VLOOKUP(AJ$20,RawData,$A33,0))</f>
        <v>0.515</v>
      </c>
      <c r="AK33" s="80" t="n">
        <f aca="false">IF(ISERROR(VLOOKUP(AK$20,RawData,$A33,0)),0,VLOOKUP(AK$20,RawData,$A33,0))</f>
        <v>0.371</v>
      </c>
      <c r="AL33" s="80" t="n">
        <f aca="false">IF(ISERROR(VLOOKUP(AL$20,RawData,$A33,0)),0,VLOOKUP(AL$20,RawData,$A33,0))</f>
        <v>0.475</v>
      </c>
      <c r="AM33" s="80" t="n">
        <f aca="false">IF(ISERROR(VLOOKUP(AM$20,RawData,$A33,0)),0,VLOOKUP(AM$20,RawData,$A33,0))</f>
        <v>0.34</v>
      </c>
      <c r="AN33" s="80" t="n">
        <f aca="false">IF(ISERROR(VLOOKUP(AN$20,RawData,$A33,0)),0,VLOOKUP(AN$20,RawData,$A33,0))</f>
        <v>0.338</v>
      </c>
      <c r="AO33" s="80" t="n">
        <f aca="false">IF(ISERROR(VLOOKUP(AO$20,RawData,$A33,0)),0,VLOOKUP(AO$20,RawData,$A33,0))</f>
        <v>0.289</v>
      </c>
      <c r="AP33" s="80" t="n">
        <f aca="false">IF(ISERROR(VLOOKUP(AP$20,RawData,$A33,0)),0,VLOOKUP(AP$20,RawData,$A33,0))</f>
        <v>0.289</v>
      </c>
      <c r="AQ33" s="80" t="n">
        <f aca="false">IF(ISERROR(VLOOKUP(AQ$20,RawData,$A33,0)),0,VLOOKUP(AQ$20,RawData,$A33,0))</f>
        <v>0.306</v>
      </c>
      <c r="AR33" s="80" t="n">
        <f aca="false">IF(ISERROR(VLOOKUP(AR$20,RawData,$A33,0)),0,VLOOKUP(AR$20,RawData,$A33,0))</f>
        <v>0.342</v>
      </c>
      <c r="AS33" s="81" t="n">
        <f aca="false">IF(ISERROR(VLOOKUP(AS$20,RawData,$A33,0)),0,VLOOKUP(AS$20,RawData,$A33,0))</f>
        <v>0.353</v>
      </c>
      <c r="AT33" s="81" t="n">
        <f aca="false">IF(ISERROR(VLOOKUP(AT$20,RawData,$A33,0)),0,VLOOKUP(AT$20,RawData,$A33,0))</f>
        <v>0.406</v>
      </c>
      <c r="AU33" s="81" t="n">
        <f aca="false">IF(ISERROR(VLOOKUP(AU$20,RawData,$A33,0)),0,VLOOKUP(AU$20,RawData,$A33,0))</f>
        <v>0.53</v>
      </c>
      <c r="AV33" s="81" t="n">
        <f aca="false">IF(ISERROR(VLOOKUP(AV$20,RawData,$A33,0)),0,VLOOKUP(AV$20,RawData,$A33,0))</f>
        <v>0.538</v>
      </c>
      <c r="AW33" s="81" t="n">
        <f aca="false">IF(ISERROR(VLOOKUP(AW$20,RawData,$A33,0)),0,VLOOKUP(AW$20,RawData,$A33,0))</f>
        <v>0</v>
      </c>
      <c r="AX33" s="81" t="n">
        <f aca="false">IF(ISERROR(VLOOKUP(AX$20,RawData,$A33,0)),0,VLOOKUP(AX$20,RawData,$A33,0))</f>
        <v>0.355</v>
      </c>
      <c r="AY33" s="81" t="n">
        <f aca="false">IF(ISERROR(VLOOKUP(AY$20,RawData,$A33,0)),0,VLOOKUP(AY$20,RawData,$A33,0))</f>
        <v>0.627</v>
      </c>
      <c r="AZ33" s="81" t="n">
        <f aca="false">IF(ISERROR(VLOOKUP(AZ$20,RawData,$A33,0)),0,VLOOKUP(AZ$20,RawData,$A33,0))</f>
        <v>0.902</v>
      </c>
      <c r="BA33" s="81" t="n">
        <f aca="false">IF(ISERROR(VLOOKUP(BA$20,RawData,$A33,0)),0,VLOOKUP(BA$20,RawData,$A33,0))</f>
        <v>0.677</v>
      </c>
      <c r="BB33" s="81" t="n">
        <f aca="false">IF(ISERROR(VLOOKUP(BB$20,RawData,$A33,0)),0,VLOOKUP(BB$20,RawData,$A33,0))</f>
        <v>0.548</v>
      </c>
      <c r="BC33" s="81" t="n">
        <f aca="false">IF(ISERROR(VLOOKUP(BC$20,RawData,$A33,0)),0,VLOOKUP(BC$20,RawData,$A33,0))</f>
        <v>0.778</v>
      </c>
      <c r="BD33" s="81" t="n">
        <f aca="false">IF(ISERROR(VLOOKUP(BD$20,RawData,$A33,0)),0,VLOOKUP(BD$20,RawData,$A33,0))</f>
        <v>0.588</v>
      </c>
      <c r="BE33" s="81" t="n">
        <f aca="false">IF(ISERROR(VLOOKUP(BE$20,RawData,$A33,0)),0,VLOOKUP(BE$20,RawData,$A33,0))</f>
        <v>0</v>
      </c>
      <c r="BF33" s="81" t="n">
        <f aca="false">IF(ISERROR(VLOOKUP(BF$20,RawData,$A33,0)),0,VLOOKUP(BF$20,RawData,$A33,0))</f>
        <v>0.475</v>
      </c>
      <c r="BG33" s="81" t="n">
        <f aca="false">IF(ISERROR(VLOOKUP(BG$20,RawData,$A33,0)),0,VLOOKUP(BG$20,RawData,$A33,0))</f>
        <v>0.516</v>
      </c>
      <c r="BH33" s="81" t="n">
        <f aca="false">IF(ISERROR(VLOOKUP(BH$20,RawData,$A33,0)),0,VLOOKUP(BH$20,RawData,$A33,0))</f>
        <v>0.601</v>
      </c>
      <c r="BI33" s="82" t="n">
        <f aca="false">IF(ISERROR(VLOOKUP(BI$20,RawData,$A33,0)),0,VLOOKUP(BI$20,RawData,$A33,0))</f>
        <v>0</v>
      </c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</row>
    <row r="34" customFormat="false" ht="15.75" hidden="false" customHeight="true" outlineLevel="0" collapsed="false">
      <c r="A34" s="78" t="n">
        <v>15</v>
      </c>
      <c r="B34" s="79" t="n">
        <f aca="false">IF(ISERROR(VLOOKUP(B$20,RawData,$A34,0)),0,VLOOKUP(B$20,RawData,$A34,0))</f>
        <v>0.314</v>
      </c>
      <c r="C34" s="80" t="n">
        <f aca="false">IF(ISERROR(VLOOKUP(C$20,RawData,$A34,0)),0,VLOOKUP(C$20,RawData,$A34,0))</f>
        <v>0.2183</v>
      </c>
      <c r="D34" s="80" t="n">
        <f aca="false">IF(ISERROR(VLOOKUP(D$20,RawData,$A34,0)),0,VLOOKUP(D$20,RawData,$A34,0))</f>
        <v>0.415</v>
      </c>
      <c r="E34" s="80" t="n">
        <f aca="false">IF(ISERROR(VLOOKUP(E$20,RawData,$A34,0)),0,VLOOKUP(E$20,RawData,$A34,0))</f>
        <v>0.17</v>
      </c>
      <c r="F34" s="80" t="n">
        <f aca="false">IF(ISERROR(VLOOKUP(F$20,RawData,$A34,0)),0,VLOOKUP(F$20,RawData,$A34,0))</f>
        <v>0.448</v>
      </c>
      <c r="G34" s="80" t="n">
        <f aca="false">IF(ISERROR(VLOOKUP(G$20,RawData,$A34,0)),0,VLOOKUP(G$20,RawData,$A34,0))</f>
        <v>0.352</v>
      </c>
      <c r="H34" s="80" t="n">
        <f aca="false">IF(ISERROR(VLOOKUP(H$20,RawData,$A34,0)),0,VLOOKUP(H$20,RawData,$A34,0))</f>
        <v>0.493</v>
      </c>
      <c r="I34" s="80" t="n">
        <f aca="false">IF(ISERROR(VLOOKUP(I$20,RawData,$A34,0)),0,VLOOKUP(I$20,RawData,$A34,0))</f>
        <v>0.371</v>
      </c>
      <c r="J34" s="80" t="n">
        <f aca="false">IF(ISERROR(VLOOKUP(J$20,RawData,$A34,0)),0,VLOOKUP(J$20,RawData,$A34,0))</f>
        <v>0.396</v>
      </c>
      <c r="K34" s="80" t="n">
        <f aca="false">IF(ISERROR(VLOOKUP(K$20,RawData,$A34,0)),0,VLOOKUP(K$20,RawData,$A34,0))</f>
        <v>0.504</v>
      </c>
      <c r="L34" s="80" t="n">
        <f aca="false">IF(ISERROR(VLOOKUP(L$20,RawData,$A34,0)),0,VLOOKUP(L$20,RawData,$A34,0))</f>
        <v>0.454581941798881</v>
      </c>
      <c r="M34" s="80" t="n">
        <f aca="false">IF(ISERROR(VLOOKUP(M$20,RawData,$A34,0)),0,VLOOKUP(M$20,RawData,$A34,0))</f>
        <v>0.454600379547278</v>
      </c>
      <c r="N34" s="80" t="n">
        <f aca="false">IF(ISERROR(VLOOKUP(N$20,RawData,$A34,0)),0,VLOOKUP(N$20,RawData,$A34,0))</f>
        <v>0.43461843104407</v>
      </c>
      <c r="O34" s="80" t="n">
        <f aca="false">IF(ISERROR(VLOOKUP(O$20,RawData,$A34,0)),0,VLOOKUP(O$20,RawData,$A34,0))</f>
        <v>0.433409774535766</v>
      </c>
      <c r="P34" s="80" t="n">
        <f aca="false">IF(ISERROR(VLOOKUP(P$20,RawData,$A34,0)),0,VLOOKUP(P$20,RawData,$A34,0))</f>
        <v>0.451328174136267</v>
      </c>
      <c r="Q34" s="80" t="n">
        <f aca="false">IF(ISERROR(VLOOKUP(Q$20,RawData,$A34,0)),0,VLOOKUP(Q$20,RawData,$A34,0))</f>
        <v>1.05280005931854</v>
      </c>
      <c r="R34" s="80" t="n">
        <f aca="false">IF(ISERROR(VLOOKUP(R$20,RawData,$A34,0)),0,VLOOKUP(R$20,RawData,$A34,0))</f>
        <v>0.359</v>
      </c>
      <c r="S34" s="80" t="n">
        <f aca="false">IF(ISERROR(VLOOKUP(S$20,RawData,$A34,0)),0,VLOOKUP(S$20,RawData,$A34,0))</f>
        <v>0.359</v>
      </c>
      <c r="T34" s="80" t="n">
        <f aca="false">IF(ISERROR(VLOOKUP(T$20,RawData,$A34,0)),0,VLOOKUP(T$20,RawData,$A34,0))</f>
        <v>0.414292165717674</v>
      </c>
      <c r="U34" s="80" t="n">
        <f aca="false">IF(ISERROR(VLOOKUP(U$20,RawData,$A34,0)),0,VLOOKUP(U$20,RawData,$A34,0))</f>
        <v>0.413619444535304</v>
      </c>
      <c r="V34" s="80" t="n">
        <f aca="false">IF(ISERROR(VLOOKUP(V$20,RawData,$A34,0)),0,VLOOKUP(V$20,RawData,$A34,0))</f>
        <v>0.502816387523273</v>
      </c>
      <c r="W34" s="80" t="n">
        <f aca="false">IF(ISERROR(VLOOKUP(W$20,RawData,$A34,0)),0,VLOOKUP(W$20,RawData,$A34,0))</f>
        <v>0.405</v>
      </c>
      <c r="X34" s="80" t="n">
        <f aca="false">IF(ISERROR(VLOOKUP(X$20,RawData,$A34,0)),0,VLOOKUP(X$20,RawData,$A34,0))</f>
        <v>0.349</v>
      </c>
      <c r="Y34" s="80" t="n">
        <f aca="false">IF(ISERROR(VLOOKUP(Y$20,RawData,$A34,0)),0,VLOOKUP(Y$20,RawData,$A34,0))</f>
        <v>0.803</v>
      </c>
      <c r="Z34" s="80" t="n">
        <f aca="false">IF(ISERROR(VLOOKUP(Z$20,RawData,$A34,0)),0,VLOOKUP(Z$20,RawData,$A34,0))</f>
        <v>0.9</v>
      </c>
      <c r="AA34" s="80" t="n">
        <f aca="false">IF(ISERROR(VLOOKUP(AA$20,RawData,$A34,0)),0,VLOOKUP(AA$20,RawData,$A34,0))</f>
        <v>0</v>
      </c>
      <c r="AB34" s="80" t="n">
        <f aca="false">IF(ISERROR(VLOOKUP(AB$20,RawData,$A34,0)),0,VLOOKUP(AB$20,RawData,$A34,0))</f>
        <v>0.449</v>
      </c>
      <c r="AC34" s="80" t="n">
        <f aca="false">IF(ISERROR(VLOOKUP(AC$20,RawData,$A34,0)),0,VLOOKUP(AC$20,RawData,$A34,0))</f>
        <v>0.514</v>
      </c>
      <c r="AD34" s="80" t="n">
        <f aca="false">IF(ISERROR(VLOOKUP(AD$20,RawData,$A34,0)),0,VLOOKUP(AD$20,RawData,$A34,0))</f>
        <v>0.406</v>
      </c>
      <c r="AE34" s="80" t="n">
        <f aca="false">IF(ISERROR(VLOOKUP(AE$20,RawData,$A34,0)),0,VLOOKUP(AE$20,RawData,$A34,0))</f>
        <v>0.511</v>
      </c>
      <c r="AF34" s="80" t="n">
        <f aca="false">IF(ISERROR(VLOOKUP(AF$20,RawData,$A34,0)),0,VLOOKUP(AF$20,RawData,$A34,0))</f>
        <v>0.499</v>
      </c>
      <c r="AG34" s="80" t="n">
        <f aca="false">IF(ISERROR(VLOOKUP(AG$20,RawData,$A34,0)),0,VLOOKUP(AG$20,RawData,$A34,0))</f>
        <v>0.367</v>
      </c>
      <c r="AH34" s="80" t="n">
        <f aca="false">IF(ISERROR(VLOOKUP(AH$20,RawData,$A34,0)),0,VLOOKUP(AH$20,RawData,$A34,0))</f>
        <v>0.416</v>
      </c>
      <c r="AI34" s="80" t="n">
        <f aca="false">IF(ISERROR(VLOOKUP(AI$20,RawData,$A34,0)),0,VLOOKUP(AI$20,RawData,$A34,0))</f>
        <v>0.59</v>
      </c>
      <c r="AJ34" s="80" t="n">
        <f aca="false">IF(ISERROR(VLOOKUP(AJ$20,RawData,$A34,0)),0,VLOOKUP(AJ$20,RawData,$A34,0))</f>
        <v>0.59</v>
      </c>
      <c r="AK34" s="80" t="n">
        <f aca="false">IF(ISERROR(VLOOKUP(AK$20,RawData,$A34,0)),0,VLOOKUP(AK$20,RawData,$A34,0))</f>
        <v>0.399</v>
      </c>
      <c r="AL34" s="80" t="n">
        <f aca="false">IF(ISERROR(VLOOKUP(AL$20,RawData,$A34,0)),0,VLOOKUP(AL$20,RawData,$A34,0))</f>
        <v>0.539</v>
      </c>
      <c r="AM34" s="80" t="n">
        <f aca="false">IF(ISERROR(VLOOKUP(AM$20,RawData,$A34,0)),0,VLOOKUP(AM$20,RawData,$A34,0))</f>
        <v>0.357</v>
      </c>
      <c r="AN34" s="80" t="n">
        <f aca="false">IF(ISERROR(VLOOKUP(AN$20,RawData,$A34,0)),0,VLOOKUP(AN$20,RawData,$A34,0))</f>
        <v>0.403</v>
      </c>
      <c r="AO34" s="80" t="n">
        <f aca="false">IF(ISERROR(VLOOKUP(AO$20,RawData,$A34,0)),0,VLOOKUP(AO$20,RawData,$A34,0))</f>
        <v>0.353</v>
      </c>
      <c r="AP34" s="80" t="n">
        <f aca="false">IF(ISERROR(VLOOKUP(AP$20,RawData,$A34,0)),0,VLOOKUP(AP$20,RawData,$A34,0))</f>
        <v>0.353</v>
      </c>
      <c r="AQ34" s="80" t="n">
        <f aca="false">IF(ISERROR(VLOOKUP(AQ$20,RawData,$A34,0)),0,VLOOKUP(AQ$20,RawData,$A34,0))</f>
        <v>0.393</v>
      </c>
      <c r="AR34" s="80" t="n">
        <f aca="false">IF(ISERROR(VLOOKUP(AR$20,RawData,$A34,0)),0,VLOOKUP(AR$20,RawData,$A34,0))</f>
        <v>0.414</v>
      </c>
      <c r="AS34" s="81" t="n">
        <f aca="false">IF(ISERROR(VLOOKUP(AS$20,RawData,$A34,0)),0,VLOOKUP(AS$20,RawData,$A34,0))</f>
        <v>0.431</v>
      </c>
      <c r="AT34" s="81" t="n">
        <f aca="false">IF(ISERROR(VLOOKUP(AT$20,RawData,$A34,0)),0,VLOOKUP(AT$20,RawData,$A34,0))</f>
        <v>0.511</v>
      </c>
      <c r="AU34" s="81" t="n">
        <f aca="false">IF(ISERROR(VLOOKUP(AU$20,RawData,$A34,0)),0,VLOOKUP(AU$20,RawData,$A34,0))</f>
        <v>0.577</v>
      </c>
      <c r="AV34" s="81" t="n">
        <f aca="false">IF(ISERROR(VLOOKUP(AV$20,RawData,$A34,0)),0,VLOOKUP(AV$20,RawData,$A34,0))</f>
        <v>0.574</v>
      </c>
      <c r="AW34" s="81" t="n">
        <f aca="false">IF(ISERROR(VLOOKUP(AW$20,RawData,$A34,0)),0,VLOOKUP(AW$20,RawData,$A34,0))</f>
        <v>0</v>
      </c>
      <c r="AX34" s="81" t="n">
        <f aca="false">IF(ISERROR(VLOOKUP(AX$20,RawData,$A34,0)),0,VLOOKUP(AX$20,RawData,$A34,0))</f>
        <v>0.375</v>
      </c>
      <c r="AY34" s="81" t="n">
        <f aca="false">IF(ISERROR(VLOOKUP(AY$20,RawData,$A34,0)),0,VLOOKUP(AY$20,RawData,$A34,0))</f>
        <v>0.732</v>
      </c>
      <c r="AZ34" s="81" t="n">
        <f aca="false">IF(ISERROR(VLOOKUP(AZ$20,RawData,$A34,0)),0,VLOOKUP(AZ$20,RawData,$A34,0))</f>
        <v>1.16</v>
      </c>
      <c r="BA34" s="81" t="n">
        <f aca="false">IF(ISERROR(VLOOKUP(BA$20,RawData,$A34,0)),0,VLOOKUP(BA$20,RawData,$A34,0))</f>
        <v>0.726</v>
      </c>
      <c r="BB34" s="81" t="n">
        <f aca="false">IF(ISERROR(VLOOKUP(BB$20,RawData,$A34,0)),0,VLOOKUP(BB$20,RawData,$A34,0))</f>
        <v>0.611</v>
      </c>
      <c r="BC34" s="81" t="n">
        <f aca="false">IF(ISERROR(VLOOKUP(BC$20,RawData,$A34,0)),0,VLOOKUP(BC$20,RawData,$A34,0))</f>
        <v>0.912</v>
      </c>
      <c r="BD34" s="81" t="n">
        <f aca="false">IF(ISERROR(VLOOKUP(BD$20,RawData,$A34,0)),0,VLOOKUP(BD$20,RawData,$A34,0))</f>
        <v>0.705</v>
      </c>
      <c r="BE34" s="81" t="n">
        <f aca="false">IF(ISERROR(VLOOKUP(BE$20,RawData,$A34,0)),0,VLOOKUP(BE$20,RawData,$A34,0))</f>
        <v>0</v>
      </c>
      <c r="BF34" s="81" t="n">
        <f aca="false">IF(ISERROR(VLOOKUP(BF$20,RawData,$A34,0)),0,VLOOKUP(BF$20,RawData,$A34,0))</f>
        <v>0.54</v>
      </c>
      <c r="BG34" s="81" t="n">
        <f aca="false">IF(ISERROR(VLOOKUP(BG$20,RawData,$A34,0)),0,VLOOKUP(BG$20,RawData,$A34,0))</f>
        <v>0.772</v>
      </c>
      <c r="BH34" s="81" t="n">
        <f aca="false">IF(ISERROR(VLOOKUP(BH$20,RawData,$A34,0)),0,VLOOKUP(BH$20,RawData,$A34,0))</f>
        <v>0.736</v>
      </c>
      <c r="BI34" s="82" t="n">
        <f aca="false">IF(ISERROR(VLOOKUP(BI$20,RawData,$A34,0)),0,VLOOKUP(BI$20,RawData,$A34,0))</f>
        <v>0</v>
      </c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</row>
    <row r="35" customFormat="false" ht="15.75" hidden="false" customHeight="true" outlineLevel="0" collapsed="false">
      <c r="A35" s="78" t="n">
        <v>16</v>
      </c>
      <c r="B35" s="79" t="n">
        <f aca="false">IF(ISERROR(VLOOKUP(B$20,RawData,$A35,0)),0,VLOOKUP(B$20,RawData,$A35,0))</f>
        <v>1.394</v>
      </c>
      <c r="C35" s="80" t="n">
        <f aca="false">IF(ISERROR(VLOOKUP(C$20,RawData,$A35,0)),0,VLOOKUP(C$20,RawData,$A35,0))</f>
        <v>0.4913</v>
      </c>
      <c r="D35" s="80" t="n">
        <f aca="false">IF(ISERROR(VLOOKUP(D$20,RawData,$A35,0)),0,VLOOKUP(D$20,RawData,$A35,0))</f>
        <v>0.836</v>
      </c>
      <c r="E35" s="80" t="n">
        <f aca="false">IF(ISERROR(VLOOKUP(E$20,RawData,$A35,0)),0,VLOOKUP(E$20,RawData,$A35,0))</f>
        <v>0.132</v>
      </c>
      <c r="F35" s="80" t="n">
        <f aca="false">IF(ISERROR(VLOOKUP(F$20,RawData,$A35,0)),0,VLOOKUP(F$20,RawData,$A35,0))</f>
        <v>0.882</v>
      </c>
      <c r="G35" s="80" t="n">
        <f aca="false">IF(ISERROR(VLOOKUP(G$20,RawData,$A35,0)),0,VLOOKUP(G$20,RawData,$A35,0))</f>
        <v>0.605</v>
      </c>
      <c r="H35" s="80" t="n">
        <f aca="false">IF(ISERROR(VLOOKUP(H$20,RawData,$A35,0)),0,VLOOKUP(H$20,RawData,$A35,0))</f>
        <v>1.044</v>
      </c>
      <c r="I35" s="80" t="n">
        <f aca="false">IF(ISERROR(VLOOKUP(I$20,RawData,$A35,0)),0,VLOOKUP(I$20,RawData,$A35,0))</f>
        <v>0.573</v>
      </c>
      <c r="J35" s="80" t="n">
        <f aca="false">IF(ISERROR(VLOOKUP(J$20,RawData,$A35,0)),0,VLOOKUP(J$20,RawData,$A35,0))</f>
        <v>0.834</v>
      </c>
      <c r="K35" s="80" t="n">
        <f aca="false">IF(ISERROR(VLOOKUP(K$20,RawData,$A35,0)),0,VLOOKUP(K$20,RawData,$A35,0))</f>
        <v>0.973</v>
      </c>
      <c r="L35" s="80" t="n">
        <f aca="false">IF(ISERROR(VLOOKUP(L$20,RawData,$A35,0)),0,VLOOKUP(L$20,RawData,$A35,0))</f>
        <v>0.63760771744079</v>
      </c>
      <c r="M35" s="80" t="n">
        <f aca="false">IF(ISERROR(VLOOKUP(M$20,RawData,$A35,0)),0,VLOOKUP(M$20,RawData,$A35,0))</f>
        <v>0.637677767565951</v>
      </c>
      <c r="N35" s="80" t="n">
        <f aca="false">IF(ISERROR(VLOOKUP(N$20,RawData,$A35,0)),0,VLOOKUP(N$20,RawData,$A35,0))</f>
        <v>0.617121665503266</v>
      </c>
      <c r="O35" s="80" t="n">
        <f aca="false">IF(ISERROR(VLOOKUP(O$20,RawData,$A35,0)),0,VLOOKUP(O$20,RawData,$A35,0))</f>
        <v>0.613919309019962</v>
      </c>
      <c r="P35" s="80" t="n">
        <f aca="false">IF(ISERROR(VLOOKUP(P$20,RawData,$A35,0)),0,VLOOKUP(P$20,RawData,$A35,0))</f>
        <v>0.616442599128654</v>
      </c>
      <c r="Q35" s="80" t="n">
        <f aca="false">IF(ISERROR(VLOOKUP(Q$20,RawData,$A35,0)),0,VLOOKUP(Q$20,RawData,$A35,0))</f>
        <v>0.655700027942657</v>
      </c>
      <c r="R35" s="80" t="n">
        <f aca="false">IF(ISERROR(VLOOKUP(R$20,RawData,$A35,0)),0,VLOOKUP(R$20,RawData,$A35,0))</f>
        <v>0.431</v>
      </c>
      <c r="S35" s="80" t="n">
        <f aca="false">IF(ISERROR(VLOOKUP(S$20,RawData,$A35,0)),0,VLOOKUP(S$20,RawData,$A35,0))</f>
        <v>0.431</v>
      </c>
      <c r="T35" s="80" t="n">
        <f aca="false">IF(ISERROR(VLOOKUP(T$20,RawData,$A35,0)),0,VLOOKUP(T$20,RawData,$A35,0))</f>
        <v>0.501478798236785</v>
      </c>
      <c r="U35" s="80" t="n">
        <f aca="false">IF(ISERROR(VLOOKUP(U$20,RawData,$A35,0)),0,VLOOKUP(U$20,RawData,$A35,0))</f>
        <v>0.490016855629942</v>
      </c>
      <c r="V35" s="80" t="n">
        <f aca="false">IF(ISERROR(VLOOKUP(V$20,RawData,$A35,0)),0,VLOOKUP(V$20,RawData,$A35,0))</f>
        <v>0.566691353321856</v>
      </c>
      <c r="W35" s="80" t="n">
        <f aca="false">IF(ISERROR(VLOOKUP(W$20,RawData,$A35,0)),0,VLOOKUP(W$20,RawData,$A35,0))</f>
        <v>0.522</v>
      </c>
      <c r="X35" s="80" t="n">
        <f aca="false">IF(ISERROR(VLOOKUP(X$20,RawData,$A35,0)),0,VLOOKUP(X$20,RawData,$A35,0))</f>
        <v>0.645</v>
      </c>
      <c r="Y35" s="80" t="n">
        <f aca="false">IF(ISERROR(VLOOKUP(Y$20,RawData,$A35,0)),0,VLOOKUP(Y$20,RawData,$A35,0))</f>
        <v>1.107</v>
      </c>
      <c r="Z35" s="80" t="n">
        <f aca="false">IF(ISERROR(VLOOKUP(Z$20,RawData,$A35,0)),0,VLOOKUP(Z$20,RawData,$A35,0))</f>
        <v>1.351</v>
      </c>
      <c r="AA35" s="80" t="n">
        <f aca="false">IF(ISERROR(VLOOKUP(AA$20,RawData,$A35,0)),0,VLOOKUP(AA$20,RawData,$A35,0))</f>
        <v>0</v>
      </c>
      <c r="AB35" s="80" t="n">
        <f aca="false">IF(ISERROR(VLOOKUP(AB$20,RawData,$A35,0)),0,VLOOKUP(AB$20,RawData,$A35,0))</f>
        <v>0.375</v>
      </c>
      <c r="AC35" s="80" t="n">
        <f aca="false">IF(ISERROR(VLOOKUP(AC$20,RawData,$A35,0)),0,VLOOKUP(AC$20,RawData,$A35,0))</f>
        <v>0.969999999999999</v>
      </c>
      <c r="AD35" s="80" t="n">
        <f aca="false">IF(ISERROR(VLOOKUP(AD$20,RawData,$A35,0)),0,VLOOKUP(AD$20,RawData,$A35,0))</f>
        <v>0.63</v>
      </c>
      <c r="AE35" s="80" t="n">
        <f aca="false">IF(ISERROR(VLOOKUP(AE$20,RawData,$A35,0)),0,VLOOKUP(AE$20,RawData,$A35,0))</f>
        <v>0.674</v>
      </c>
      <c r="AF35" s="80" t="n">
        <f aca="false">IF(ISERROR(VLOOKUP(AF$20,RawData,$A35,0)),0,VLOOKUP(AF$20,RawData,$A35,0))</f>
        <v>1.027</v>
      </c>
      <c r="AG35" s="80" t="n">
        <f aca="false">IF(ISERROR(VLOOKUP(AG$20,RawData,$A35,0)),0,VLOOKUP(AG$20,RawData,$A35,0))</f>
        <v>0.374</v>
      </c>
      <c r="AH35" s="80" t="n">
        <f aca="false">IF(ISERROR(VLOOKUP(AH$20,RawData,$A35,0)),0,VLOOKUP(AH$20,RawData,$A35,0))</f>
        <v>0.763</v>
      </c>
      <c r="AI35" s="80" t="n">
        <f aca="false">IF(ISERROR(VLOOKUP(AI$20,RawData,$A35,0)),0,VLOOKUP(AI$20,RawData,$A35,0))</f>
        <v>1.328</v>
      </c>
      <c r="AJ35" s="80" t="n">
        <f aca="false">IF(ISERROR(VLOOKUP(AJ$20,RawData,$A35,0)),0,VLOOKUP(AJ$20,RawData,$A35,0))</f>
        <v>1.328</v>
      </c>
      <c r="AK35" s="80" t="n">
        <f aca="false">IF(ISERROR(VLOOKUP(AK$20,RawData,$A35,0)),0,VLOOKUP(AK$20,RawData,$A35,0))</f>
        <v>0.641</v>
      </c>
      <c r="AL35" s="80" t="n">
        <f aca="false">IF(ISERROR(VLOOKUP(AL$20,RawData,$A35,0)),0,VLOOKUP(AL$20,RawData,$A35,0))</f>
        <v>0.726</v>
      </c>
      <c r="AM35" s="80" t="n">
        <f aca="false">IF(ISERROR(VLOOKUP(AM$20,RawData,$A35,0)),0,VLOOKUP(AM$20,RawData,$A35,0))</f>
        <v>0.757</v>
      </c>
      <c r="AN35" s="80" t="n">
        <f aca="false">IF(ISERROR(VLOOKUP(AN$20,RawData,$A35,0)),0,VLOOKUP(AN$20,RawData,$A35,0))</f>
        <v>1.389</v>
      </c>
      <c r="AO35" s="80" t="n">
        <f aca="false">IF(ISERROR(VLOOKUP(AO$20,RawData,$A35,0)),0,VLOOKUP(AO$20,RawData,$A35,0))</f>
        <v>0.589</v>
      </c>
      <c r="AP35" s="80" t="n">
        <f aca="false">IF(ISERROR(VLOOKUP(AP$20,RawData,$A35,0)),0,VLOOKUP(AP$20,RawData,$A35,0))</f>
        <v>0.589</v>
      </c>
      <c r="AQ35" s="80" t="n">
        <f aca="false">IF(ISERROR(VLOOKUP(AQ$20,RawData,$A35,0)),0,VLOOKUP(AQ$20,RawData,$A35,0))</f>
        <v>0.462</v>
      </c>
      <c r="AR35" s="80" t="n">
        <f aca="false">IF(ISERROR(VLOOKUP(AR$20,RawData,$A35,0)),0,VLOOKUP(AR$20,RawData,$A35,0))</f>
        <v>0.938</v>
      </c>
      <c r="AS35" s="81" t="n">
        <f aca="false">IF(ISERROR(VLOOKUP(AS$20,RawData,$A35,0)),0,VLOOKUP(AS$20,RawData,$A35,0))</f>
        <v>1.158</v>
      </c>
      <c r="AT35" s="81" t="n">
        <f aca="false">IF(ISERROR(VLOOKUP(AT$20,RawData,$A35,0)),0,VLOOKUP(AT$20,RawData,$A35,0))</f>
        <v>0.636</v>
      </c>
      <c r="AU35" s="81" t="n">
        <f aca="false">IF(ISERROR(VLOOKUP(AU$20,RawData,$A35,0)),0,VLOOKUP(AU$20,RawData,$A35,0))</f>
        <v>1.131</v>
      </c>
      <c r="AV35" s="81" t="n">
        <f aca="false">IF(ISERROR(VLOOKUP(AV$20,RawData,$A35,0)),0,VLOOKUP(AV$20,RawData,$A35,0))</f>
        <v>0.401</v>
      </c>
      <c r="AW35" s="81" t="n">
        <f aca="false">IF(ISERROR(VLOOKUP(AW$20,RawData,$A35,0)),0,VLOOKUP(AW$20,RawData,$A35,0))</f>
        <v>0</v>
      </c>
      <c r="AX35" s="81" t="n">
        <f aca="false">IF(ISERROR(VLOOKUP(AX$20,RawData,$A35,0)),0,VLOOKUP(AX$20,RawData,$A35,0))</f>
        <v>0.551</v>
      </c>
      <c r="AY35" s="81" t="n">
        <f aca="false">IF(ISERROR(VLOOKUP(AY$20,RawData,$A35,0)),0,VLOOKUP(AY$20,RawData,$A35,0))</f>
        <v>1.265</v>
      </c>
      <c r="AZ35" s="81" t="n">
        <f aca="false">IF(ISERROR(VLOOKUP(AZ$20,RawData,$A35,0)),0,VLOOKUP(AZ$20,RawData,$A35,0))</f>
        <v>2.704</v>
      </c>
      <c r="BA35" s="81" t="n">
        <f aca="false">IF(ISERROR(VLOOKUP(BA$20,RawData,$A35,0)),0,VLOOKUP(BA$20,RawData,$A35,0))</f>
        <v>0.716</v>
      </c>
      <c r="BB35" s="81" t="n">
        <f aca="false">IF(ISERROR(VLOOKUP(BB$20,RawData,$A35,0)),0,VLOOKUP(BB$20,RawData,$A35,0))</f>
        <v>0.775</v>
      </c>
      <c r="BC35" s="81" t="n">
        <f aca="false">IF(ISERROR(VLOOKUP(BC$20,RawData,$A35,0)),0,VLOOKUP(BC$20,RawData,$A35,0))</f>
        <v>2.337</v>
      </c>
      <c r="BD35" s="81" t="n">
        <f aca="false">IF(ISERROR(VLOOKUP(BD$20,RawData,$A35,0)),0,VLOOKUP(BD$20,RawData,$A35,0))</f>
        <v>1.746</v>
      </c>
      <c r="BE35" s="81" t="n">
        <f aca="false">IF(ISERROR(VLOOKUP(BE$20,RawData,$A35,0)),0,VLOOKUP(BE$20,RawData,$A35,0))</f>
        <v>0</v>
      </c>
      <c r="BF35" s="81" t="n">
        <f aca="false">IF(ISERROR(VLOOKUP(BF$20,RawData,$A35,0)),0,VLOOKUP(BF$20,RawData,$A35,0))</f>
        <v>0.69</v>
      </c>
      <c r="BG35" s="81" t="n">
        <f aca="false">IF(ISERROR(VLOOKUP(BG$20,RawData,$A35,0)),0,VLOOKUP(BG$20,RawData,$A35,0))</f>
        <v>1.525</v>
      </c>
      <c r="BH35" s="81" t="n">
        <f aca="false">IF(ISERROR(VLOOKUP(BH$20,RawData,$A35,0)),0,VLOOKUP(BH$20,RawData,$A35,0))</f>
        <v>1.136</v>
      </c>
      <c r="BI35" s="82" t="n">
        <f aca="false">IF(ISERROR(VLOOKUP(BI$20,RawData,$A35,0)),0,VLOOKUP(BI$20,RawData,$A35,0))</f>
        <v>0</v>
      </c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</row>
    <row r="36" customFormat="false" ht="15.75" hidden="false" customHeight="true" outlineLevel="0" collapsed="false">
      <c r="A36" s="50"/>
      <c r="B36" s="83" t="n">
        <f aca="false">SUM(B26:B35)</f>
        <v>100</v>
      </c>
      <c r="C36" s="84" t="n">
        <f aca="false">SUM(C26:C35)</f>
        <v>99.6301</v>
      </c>
      <c r="D36" s="84" t="n">
        <f aca="false">SUM(D26:D35)</f>
        <v>100</v>
      </c>
      <c r="E36" s="84" t="n">
        <f aca="false">SUM(E26:E35)</f>
        <v>100</v>
      </c>
      <c r="F36" s="84" t="n">
        <f aca="false">SUM(F26:F35)</f>
        <v>100</v>
      </c>
      <c r="G36" s="84" t="n">
        <f aca="false">SUM(G26:G35)</f>
        <v>100</v>
      </c>
      <c r="H36" s="84" t="n">
        <f aca="false">SUM(H26:H35)</f>
        <v>100</v>
      </c>
      <c r="I36" s="84" t="n">
        <f aca="false">SUM(I26:I35)</f>
        <v>100</v>
      </c>
      <c r="J36" s="84" t="n">
        <f aca="false">SUM(J26:J35)</f>
        <v>100</v>
      </c>
      <c r="K36" s="84" t="n">
        <f aca="false">SUM(K26:K35)</f>
        <v>100</v>
      </c>
      <c r="L36" s="84" t="n">
        <f aca="false">SUM(L26:L35)</f>
        <v>100.000011097402</v>
      </c>
      <c r="M36" s="84" t="n">
        <f aca="false">SUM(M26:M35)</f>
        <v>100.00001110919</v>
      </c>
      <c r="N36" s="84" t="n">
        <f aca="false">SUM(N26:N35)</f>
        <v>100.000000486139</v>
      </c>
      <c r="O36" s="84" t="n">
        <f aca="false">SUM(O26:O35)</f>
        <v>99.9999995441614</v>
      </c>
      <c r="P36" s="84" t="n">
        <f aca="false">SUM(P26:P35)</f>
        <v>100.000000395303</v>
      </c>
      <c r="Q36" s="84" t="n">
        <f aca="false">SUM(Q26:Q35)</f>
        <v>100.000000149012</v>
      </c>
      <c r="R36" s="84" t="n">
        <f aca="false">SUM(R26:R35)</f>
        <v>100</v>
      </c>
      <c r="S36" s="84" t="n">
        <f aca="false">SUM(S26:S35)</f>
        <v>100</v>
      </c>
      <c r="T36" s="84" t="n">
        <f aca="false">SUM(T26:T35)</f>
        <v>99.9999999032979</v>
      </c>
      <c r="U36" s="84" t="n">
        <f aca="false">SUM(U26:U35)</f>
        <v>99.999999900478</v>
      </c>
      <c r="V36" s="84" t="n">
        <f aca="false">SUM(V26:V35)</f>
        <v>99.9999979579526</v>
      </c>
      <c r="W36" s="84" t="n">
        <f aca="false">SUM(W26:W35)</f>
        <v>100</v>
      </c>
      <c r="X36" s="84" t="n">
        <f aca="false">SUM(X26:X35)</f>
        <v>100</v>
      </c>
      <c r="Y36" s="84" t="n">
        <f aca="false">SUM(Y26:Y35)</f>
        <v>100</v>
      </c>
      <c r="Z36" s="84" t="n">
        <f aca="false">SUM(Z26:Z35)</f>
        <v>100</v>
      </c>
      <c r="AA36" s="84" t="n">
        <f aca="false">SUM(AA26:AA35)</f>
        <v>0</v>
      </c>
      <c r="AB36" s="84" t="n">
        <f aca="false">SUM(AB26:AB35)</f>
        <v>100</v>
      </c>
      <c r="AC36" s="84" t="n">
        <f aca="false">SUM(AC26:AC35)</f>
        <v>100</v>
      </c>
      <c r="AD36" s="84" t="n">
        <f aca="false">SUM(AD26:AD35)</f>
        <v>100</v>
      </c>
      <c r="AE36" s="84" t="n">
        <f aca="false">SUM(AE26:AE35)</f>
        <v>100</v>
      </c>
      <c r="AF36" s="84" t="n">
        <f aca="false">SUM(AF26:AF35)</f>
        <v>100</v>
      </c>
      <c r="AG36" s="84" t="n">
        <f aca="false">SUM(AG26:AG35)</f>
        <v>100</v>
      </c>
      <c r="AH36" s="84" t="n">
        <f aca="false">SUM(AH26:AH35)</f>
        <v>100</v>
      </c>
      <c r="AI36" s="84" t="n">
        <f aca="false">SUM(AI26:AI35)</f>
        <v>100</v>
      </c>
      <c r="AJ36" s="84" t="n">
        <f aca="false">SUM(AJ26:AJ35)</f>
        <v>100</v>
      </c>
      <c r="AK36" s="84" t="n">
        <f aca="false">SUM(AK26:AK35)</f>
        <v>100</v>
      </c>
      <c r="AL36" s="84" t="n">
        <f aca="false">SUM(AL26:AL35)</f>
        <v>100</v>
      </c>
      <c r="AM36" s="84" t="n">
        <f aca="false">SUM(AM26:AM35)</f>
        <v>100</v>
      </c>
      <c r="AN36" s="84" t="n">
        <f aca="false">SUM(AN26:AN35)</f>
        <v>100</v>
      </c>
      <c r="AO36" s="84" t="n">
        <f aca="false">SUM(AO26:AO35)</f>
        <v>100</v>
      </c>
      <c r="AP36" s="84" t="n">
        <f aca="false">SUM(AP26:AP35)</f>
        <v>100</v>
      </c>
      <c r="AQ36" s="84" t="n">
        <f aca="false">SUM(AQ26:AQ35)</f>
        <v>100</v>
      </c>
      <c r="AR36" s="84" t="n">
        <f aca="false">SUM(AR26:AR35)</f>
        <v>100</v>
      </c>
      <c r="AS36" s="84" t="n">
        <f aca="false">SUM(AS26:AS35)</f>
        <v>100</v>
      </c>
      <c r="AT36" s="84" t="n">
        <f aca="false">SUM(AT26:AT35)</f>
        <v>100</v>
      </c>
      <c r="AU36" s="84" t="n">
        <f aca="false">SUM(AU26:AU35)</f>
        <v>100</v>
      </c>
      <c r="AV36" s="84" t="n">
        <f aca="false">SUM(AV26:AV35)</f>
        <v>100</v>
      </c>
      <c r="AW36" s="84" t="n">
        <f aca="false">SUM(AW26:AW35)</f>
        <v>100</v>
      </c>
      <c r="AX36" s="84" t="n">
        <f aca="false">SUM(AX26:AX35)</f>
        <v>100</v>
      </c>
      <c r="AY36" s="84" t="n">
        <f aca="false">SUM(AY26:AY35)</f>
        <v>100</v>
      </c>
      <c r="AZ36" s="84" t="n">
        <f aca="false">SUM(AZ26:AZ35)</f>
        <v>100</v>
      </c>
      <c r="BA36" s="84" t="n">
        <f aca="false">SUM(BA26:BA35)</f>
        <v>100</v>
      </c>
      <c r="BB36" s="84" t="n">
        <f aca="false">SUM(BB26:BB35)</f>
        <v>100</v>
      </c>
      <c r="BC36" s="84" t="n">
        <f aca="false">SUM(BC26:BC35)</f>
        <v>100</v>
      </c>
      <c r="BD36" s="84" t="n">
        <f aca="false">SUM(BD26:BD35)</f>
        <v>100</v>
      </c>
      <c r="BE36" s="84" t="n">
        <f aca="false">SUM(BE26:BE35)</f>
        <v>0</v>
      </c>
      <c r="BF36" s="84" t="n">
        <f aca="false">SUM(BF26:BF35)</f>
        <v>100</v>
      </c>
      <c r="BG36" s="84" t="n">
        <f aca="false">SUM(BG26:BG35)</f>
        <v>100</v>
      </c>
      <c r="BH36" s="84" t="n">
        <f aca="false">SUM(BH26:BH35)</f>
        <v>100</v>
      </c>
      <c r="BI36" s="85" t="n">
        <f aca="false">SUM(BI26:BI35)</f>
        <v>0</v>
      </c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</row>
    <row r="37" customFormat="false" ht="15.75" hidden="false" customHeight="true" outlineLevel="0" collapsed="false">
      <c r="B37" s="86" t="n">
        <v>1</v>
      </c>
      <c r="C37" s="86" t="n">
        <v>2</v>
      </c>
      <c r="D37" s="86" t="n">
        <v>3</v>
      </c>
      <c r="E37" s="86" t="n">
        <v>4</v>
      </c>
      <c r="F37" s="86" t="n">
        <v>5</v>
      </c>
      <c r="G37" s="86" t="n">
        <v>6</v>
      </c>
      <c r="H37" s="86" t="n">
        <v>7</v>
      </c>
      <c r="I37" s="86" t="n">
        <v>8</v>
      </c>
      <c r="J37" s="86" t="n">
        <v>9</v>
      </c>
      <c r="K37" s="86" t="n">
        <v>10</v>
      </c>
      <c r="L37" s="86" t="n">
        <v>11</v>
      </c>
      <c r="M37" s="86" t="n">
        <v>12</v>
      </c>
      <c r="N37" s="86" t="n">
        <v>13</v>
      </c>
      <c r="O37" s="86" t="n">
        <v>14</v>
      </c>
      <c r="P37" s="86" t="n">
        <v>15</v>
      </c>
      <c r="Q37" s="86" t="n">
        <v>16</v>
      </c>
      <c r="R37" s="86" t="n">
        <v>17</v>
      </c>
      <c r="S37" s="86" t="n">
        <v>18</v>
      </c>
      <c r="T37" s="86" t="n">
        <v>19</v>
      </c>
      <c r="U37" s="86" t="n">
        <v>20</v>
      </c>
      <c r="V37" s="86" t="n">
        <v>21</v>
      </c>
      <c r="W37" s="86" t="n">
        <v>22</v>
      </c>
      <c r="X37" s="86" t="n">
        <v>23</v>
      </c>
      <c r="Y37" s="86" t="n">
        <v>24</v>
      </c>
      <c r="Z37" s="86" t="n">
        <v>25</v>
      </c>
      <c r="AA37" s="86" t="n">
        <v>26</v>
      </c>
      <c r="AB37" s="86" t="n">
        <v>27</v>
      </c>
      <c r="AC37" s="86" t="n">
        <v>28</v>
      </c>
      <c r="AD37" s="86" t="n">
        <v>29</v>
      </c>
      <c r="AE37" s="86" t="n">
        <v>30</v>
      </c>
      <c r="AF37" s="86" t="n">
        <v>31</v>
      </c>
      <c r="AG37" s="86" t="n">
        <v>32</v>
      </c>
      <c r="AH37" s="86" t="n">
        <v>33</v>
      </c>
      <c r="AI37" s="86" t="n">
        <v>34</v>
      </c>
      <c r="AJ37" s="86" t="n">
        <v>35</v>
      </c>
      <c r="AK37" s="86" t="n">
        <v>36</v>
      </c>
      <c r="AL37" s="86" t="n">
        <v>37</v>
      </c>
      <c r="AM37" s="86" t="n">
        <v>38</v>
      </c>
      <c r="AN37" s="86" t="n">
        <v>39</v>
      </c>
      <c r="AO37" s="86" t="n">
        <v>40</v>
      </c>
      <c r="AP37" s="86" t="n">
        <v>41</v>
      </c>
      <c r="AQ37" s="86" t="n">
        <v>42</v>
      </c>
      <c r="AR37" s="86" t="n">
        <v>43</v>
      </c>
      <c r="AS37" s="86" t="n">
        <v>44</v>
      </c>
      <c r="AT37" s="86" t="n">
        <v>45</v>
      </c>
      <c r="AU37" s="86" t="n">
        <v>46</v>
      </c>
      <c r="AV37" s="86" t="n">
        <v>47</v>
      </c>
      <c r="AW37" s="86" t="n">
        <v>48</v>
      </c>
      <c r="AX37" s="86" t="n">
        <v>49</v>
      </c>
      <c r="AY37" s="86" t="n">
        <v>50</v>
      </c>
      <c r="AZ37" s="86" t="n">
        <v>51</v>
      </c>
      <c r="BA37" s="86" t="n">
        <v>52</v>
      </c>
      <c r="BB37" s="86" t="n">
        <v>53</v>
      </c>
      <c r="BC37" s="86" t="n">
        <v>54</v>
      </c>
      <c r="BD37" s="86" t="n">
        <v>55</v>
      </c>
      <c r="BE37" s="86" t="n">
        <v>56</v>
      </c>
      <c r="BF37" s="86" t="n">
        <v>57</v>
      </c>
      <c r="BG37" s="86" t="n">
        <v>58</v>
      </c>
      <c r="BH37" s="86" t="n">
        <v>59</v>
      </c>
      <c r="BI37" s="86" t="n">
        <v>60</v>
      </c>
    </row>
    <row r="38" customFormat="false" ht="15.75" hidden="false" customHeight="true" outlineLevel="0" collapsed="false"/>
    <row r="39" customFormat="false" ht="15.75" hidden="false" customHeight="true" outlineLevel="0" collapsed="false">
      <c r="B39" s="4" t="s">
        <v>88</v>
      </c>
    </row>
    <row r="40" customFormat="false" ht="15.75" hidden="false" customHeight="true" outlineLevel="0" collapsed="false">
      <c r="B40" s="87" t="n">
        <v>1</v>
      </c>
      <c r="C40" s="87" t="n">
        <v>2</v>
      </c>
      <c r="D40" s="87" t="n">
        <v>3</v>
      </c>
      <c r="E40" s="87" t="n">
        <v>4</v>
      </c>
      <c r="F40" s="87" t="n">
        <v>5</v>
      </c>
      <c r="G40" s="87" t="n">
        <v>6</v>
      </c>
      <c r="H40" s="87" t="n">
        <v>7</v>
      </c>
      <c r="I40" s="87" t="n">
        <v>8</v>
      </c>
      <c r="J40" s="87" t="n">
        <v>9</v>
      </c>
      <c r="K40" s="87" t="n">
        <v>10</v>
      </c>
      <c r="L40" s="87" t="n">
        <v>11</v>
      </c>
      <c r="M40" s="87" t="n">
        <v>12</v>
      </c>
      <c r="N40" s="87" t="n">
        <v>13</v>
      </c>
      <c r="O40" s="88" t="n">
        <v>1</v>
      </c>
      <c r="P40" s="88" t="n">
        <v>2</v>
      </c>
      <c r="Q40" s="88" t="n">
        <v>3</v>
      </c>
      <c r="R40" s="88" t="n">
        <v>4</v>
      </c>
      <c r="S40" s="88" t="n">
        <v>5</v>
      </c>
      <c r="T40" s="88" t="n">
        <v>6</v>
      </c>
      <c r="U40" s="88" t="n">
        <v>7</v>
      </c>
      <c r="V40" s="88" t="n">
        <v>8</v>
      </c>
      <c r="W40" s="88" t="n">
        <v>9</v>
      </c>
      <c r="X40" s="88" t="n">
        <v>10</v>
      </c>
      <c r="Y40" s="88" t="n">
        <v>11</v>
      </c>
      <c r="Z40" s="88" t="n">
        <v>12</v>
      </c>
      <c r="AA40" s="88" t="n">
        <v>13</v>
      </c>
      <c r="AB40" s="87" t="n">
        <v>1</v>
      </c>
      <c r="AC40" s="87" t="n">
        <v>2</v>
      </c>
      <c r="AD40" s="87" t="n">
        <v>3</v>
      </c>
      <c r="AE40" s="87" t="n">
        <v>4</v>
      </c>
      <c r="AF40" s="87" t="n">
        <v>5</v>
      </c>
      <c r="AG40" s="87" t="n">
        <v>6</v>
      </c>
      <c r="AH40" s="87" t="n">
        <v>7</v>
      </c>
      <c r="AI40" s="87" t="n">
        <v>8</v>
      </c>
      <c r="AJ40" s="87" t="n">
        <v>9</v>
      </c>
      <c r="AK40" s="87" t="n">
        <v>10</v>
      </c>
      <c r="AL40" s="87" t="n">
        <v>11</v>
      </c>
      <c r="AM40" s="87" t="n">
        <v>12</v>
      </c>
      <c r="AN40" s="87" t="n">
        <v>13</v>
      </c>
      <c r="AO40" s="88" t="n">
        <v>1</v>
      </c>
      <c r="AP40" s="88" t="n">
        <v>2</v>
      </c>
      <c r="AQ40" s="88" t="n">
        <v>3</v>
      </c>
      <c r="AR40" s="88" t="n">
        <v>4</v>
      </c>
      <c r="AS40" s="88" t="n">
        <v>5</v>
      </c>
      <c r="AT40" s="88" t="n">
        <v>6</v>
      </c>
      <c r="AU40" s="88" t="n">
        <v>7</v>
      </c>
      <c r="AV40" s="88" t="n">
        <v>8</v>
      </c>
      <c r="AW40" s="88" t="n">
        <v>9</v>
      </c>
      <c r="AX40" s="88" t="n">
        <v>10</v>
      </c>
      <c r="AY40" s="88" t="n">
        <v>11</v>
      </c>
      <c r="AZ40" s="88" t="n">
        <v>12</v>
      </c>
      <c r="BA40" s="88" t="n">
        <v>13</v>
      </c>
      <c r="BB40" s="87" t="n">
        <v>1</v>
      </c>
      <c r="BC40" s="87" t="n">
        <v>2</v>
      </c>
      <c r="BD40" s="87" t="n">
        <v>3</v>
      </c>
      <c r="BE40" s="87" t="n">
        <v>4</v>
      </c>
      <c r="BF40" s="87" t="n">
        <v>5</v>
      </c>
      <c r="BG40" s="87" t="n">
        <v>6</v>
      </c>
      <c r="BH40" s="87" t="n">
        <v>7</v>
      </c>
      <c r="BI40" s="87" t="n">
        <v>8</v>
      </c>
      <c r="BJ40" s="87" t="n">
        <v>9</v>
      </c>
      <c r="BK40" s="87" t="n">
        <v>10</v>
      </c>
      <c r="BL40" s="87" t="n">
        <v>11</v>
      </c>
      <c r="BM40" s="87" t="n">
        <v>12</v>
      </c>
      <c r="BN40" s="87" t="n">
        <v>13</v>
      </c>
    </row>
    <row r="41" customFormat="false" ht="15.75" hidden="false" customHeight="true" outlineLevel="0" collapsed="false">
      <c r="B41" s="89" t="s">
        <v>70</v>
      </c>
      <c r="C41" s="90" t="s">
        <v>71</v>
      </c>
      <c r="D41" s="90" t="s">
        <v>67</v>
      </c>
      <c r="E41" s="90" t="s">
        <v>14</v>
      </c>
      <c r="F41" s="90" t="s">
        <v>11</v>
      </c>
      <c r="G41" s="90" t="s">
        <v>68</v>
      </c>
      <c r="H41" s="90" t="s">
        <v>63</v>
      </c>
      <c r="I41" s="90" t="s">
        <v>64</v>
      </c>
      <c r="J41" s="90" t="s">
        <v>22</v>
      </c>
      <c r="K41" s="90" t="s">
        <v>12</v>
      </c>
      <c r="L41" s="90" t="s">
        <v>13</v>
      </c>
      <c r="M41" s="90" t="s">
        <v>69</v>
      </c>
      <c r="N41" s="91" t="s">
        <v>9</v>
      </c>
      <c r="O41" s="92" t="s">
        <v>87</v>
      </c>
      <c r="P41" s="93" t="s">
        <v>66</v>
      </c>
      <c r="Q41" s="93" t="s">
        <v>65</v>
      </c>
      <c r="R41" s="93" t="s">
        <v>37</v>
      </c>
      <c r="S41" s="93" t="s">
        <v>38</v>
      </c>
      <c r="T41" s="93" t="s">
        <v>39</v>
      </c>
      <c r="U41" s="93" t="s">
        <v>40</v>
      </c>
      <c r="V41" s="93" t="s">
        <v>41</v>
      </c>
      <c r="W41" s="93" t="s">
        <v>42</v>
      </c>
      <c r="X41" s="93" t="s">
        <v>43</v>
      </c>
      <c r="Y41" s="93" t="s">
        <v>44</v>
      </c>
      <c r="Z41" s="93" t="s">
        <v>45</v>
      </c>
      <c r="AA41" s="94" t="s">
        <v>46</v>
      </c>
      <c r="AB41" s="89" t="s">
        <v>49</v>
      </c>
      <c r="AC41" s="90" t="s">
        <v>51</v>
      </c>
      <c r="AD41" s="90" t="s">
        <v>55</v>
      </c>
      <c r="AE41" s="90" t="s">
        <v>53</v>
      </c>
      <c r="AF41" s="90" t="s">
        <v>54</v>
      </c>
      <c r="AG41" s="90" t="s">
        <v>57</v>
      </c>
      <c r="AH41" s="90" t="s">
        <v>74</v>
      </c>
      <c r="AI41" s="90"/>
      <c r="AJ41" s="90"/>
      <c r="AK41" s="90"/>
      <c r="AL41" s="90"/>
      <c r="AM41" s="90"/>
      <c r="AN41" s="91"/>
      <c r="AO41" s="92" t="s">
        <v>60</v>
      </c>
      <c r="AP41" s="93" t="s">
        <v>61</v>
      </c>
      <c r="AQ41" s="93" t="s">
        <v>75</v>
      </c>
      <c r="AR41" s="93" t="s">
        <v>76</v>
      </c>
      <c r="AS41" s="93" t="s">
        <v>15</v>
      </c>
      <c r="AT41" s="93" t="s">
        <v>81</v>
      </c>
      <c r="AU41" s="93" t="s">
        <v>82</v>
      </c>
      <c r="AV41" s="93" t="s">
        <v>83</v>
      </c>
      <c r="AW41" s="93" t="s">
        <v>84</v>
      </c>
      <c r="AX41" s="93" t="s">
        <v>85</v>
      </c>
      <c r="AY41" s="93" t="s">
        <v>23</v>
      </c>
      <c r="AZ41" s="93"/>
      <c r="BA41" s="95"/>
      <c r="BB41" s="89" t="s">
        <v>77</v>
      </c>
      <c r="BC41" s="90" t="s">
        <v>58</v>
      </c>
      <c r="BD41" s="90" t="s">
        <v>47</v>
      </c>
      <c r="BE41" s="90" t="s">
        <v>48</v>
      </c>
      <c r="BF41" s="90" t="s">
        <v>72</v>
      </c>
      <c r="BG41" s="90" t="s">
        <v>73</v>
      </c>
      <c r="BH41" s="90" t="s">
        <v>78</v>
      </c>
      <c r="BI41" s="90" t="s">
        <v>79</v>
      </c>
      <c r="BJ41" s="90"/>
      <c r="BK41" s="90"/>
      <c r="BL41" s="90"/>
      <c r="BM41" s="90"/>
      <c r="BN41" s="91"/>
    </row>
    <row r="42" customFormat="false" ht="15.75" hidden="false" customHeight="true" outlineLevel="0" collapsed="false">
      <c r="A42" s="96" t="s">
        <v>24</v>
      </c>
      <c r="B42" s="97" t="n">
        <f aca="false">IF(ISERROR(HLOOKUP(B$41,Coms,$BY42,0)),0,HLOOKUP(B$41,Coms,$BY42,0))</f>
        <v>0.00096</v>
      </c>
      <c r="C42" s="98" t="n">
        <f aca="false">IF(ISERROR(HLOOKUP(C$41,Coms,$BY42,0)),0,HLOOKUP(C$41,Coms,$BY42,0))</f>
        <v>0.00132</v>
      </c>
      <c r="D42" s="98" t="n">
        <f aca="false">IF(ISERROR(HLOOKUP(D$41,Coms,$BY42,0)),0,HLOOKUP(D$41,Coms,$BY42,0))</f>
        <v>0.00087</v>
      </c>
      <c r="E42" s="98" t="n">
        <f aca="false">IF(ISERROR(HLOOKUP(E$41,Coms,$BY42,0)),0,HLOOKUP(E$41,Coms,$BY42,0))</f>
        <v>0.01455</v>
      </c>
      <c r="F42" s="98" t="n">
        <f aca="false">IF(ISERROR(HLOOKUP(F$41,Coms,$BY42,0)),0,HLOOKUP(F$41,Coms,$BY42,0))</f>
        <v>0.00212</v>
      </c>
      <c r="G42" s="98" t="n">
        <f aca="false">IF(ISERROR(HLOOKUP(G$41,Coms,$BY42,0)),0,HLOOKUP(G$41,Coms,$BY42,0))</f>
        <v>0.00109</v>
      </c>
      <c r="H42" s="98" t="n">
        <f aca="false">IF(ISERROR(HLOOKUP(H$41,Coms,$BY42,0)),0,HLOOKUP(H$41,Coms,$BY42,0))</f>
        <v>0.00101</v>
      </c>
      <c r="I42" s="98" t="n">
        <f aca="false">IF(ISERROR(HLOOKUP(I$41,Coms,$BY42,0)),0,HLOOKUP(I$41,Coms,$BY42,0))</f>
        <v>0.01552</v>
      </c>
      <c r="J42" s="98" t="n">
        <f aca="false">IF(ISERROR(HLOOKUP(J$41,Coms,$BY42,0)),0,HLOOKUP(J$41,Coms,$BY42,0))</f>
        <v>0.00534</v>
      </c>
      <c r="K42" s="98" t="n">
        <f aca="false">IF(ISERROR(HLOOKUP(K$41,Coms,$BY42,0)),0,HLOOKUP(K$41,Coms,$BY42,0))</f>
        <v>0.00165</v>
      </c>
      <c r="L42" s="98" t="n">
        <f aca="false">IF(ISERROR(HLOOKUP(L$41,Coms,$BY42,0)),0,HLOOKUP(L$41,Coms,$BY42,0))</f>
        <v>0.00165</v>
      </c>
      <c r="M42" s="98" t="n">
        <f aca="false">IF(ISERROR(HLOOKUP(M$41,Coms,$BY42,0)),0,HLOOKUP(M$41,Coms,$BY42,0))</f>
        <v>0.00179</v>
      </c>
      <c r="N42" s="99" t="n">
        <f aca="false">IF(ISERROR(HLOOKUP(N$41,Coms,$BY42,0)),0,HLOOKUP(N$41,Coms,$BY42,0))</f>
        <v>0.00145</v>
      </c>
      <c r="O42" s="100" t="n">
        <f aca="false">IF(ISERROR(HLOOKUP(O$41,Coms,$BY42,0)),0,HLOOKUP(O$41,Coms,$BY42,0))</f>
        <v>0.00117</v>
      </c>
      <c r="P42" s="101" t="n">
        <f aca="false">IF(ISERROR(HLOOKUP(P$41,Coms,$BY42,0)),0,HLOOKUP(P$41,Coms,$BY42,0))</f>
        <v>0.00149</v>
      </c>
      <c r="Q42" s="101" t="n">
        <f aca="false">IF(ISERROR(HLOOKUP(Q$41,Coms,$BY42,0)),0,HLOOKUP(Q$41,Coms,$BY42,0))</f>
        <v>0.0041</v>
      </c>
      <c r="R42" s="101" t="n">
        <f aca="false">IF(ISERROR(HLOOKUP(R$41,Coms,$BY42,0)),0,HLOOKUP(R$41,Coms,$BY42,0))</f>
        <v>0.00173</v>
      </c>
      <c r="S42" s="101" t="n">
        <f aca="false">IF(ISERROR(HLOOKUP(S$41,Coms,$BY42,0)),0,HLOOKUP(S$41,Coms,$BY42,0))</f>
        <v>0.00158686983150674</v>
      </c>
      <c r="T42" s="101" t="n">
        <f aca="false">IF(ISERROR(HLOOKUP(T$41,Coms,$BY42,0)),0,HLOOKUP(T$41,Coms,$BY42,0))</f>
        <v>0.00094</v>
      </c>
      <c r="U42" s="101" t="n">
        <f aca="false">IF(ISERROR(HLOOKUP(U$41,Coms,$BY42,0)),0,HLOOKUP(U$41,Coms,$BY42,0))</f>
        <v>0.00075</v>
      </c>
      <c r="V42" s="101" t="n">
        <f aca="false">IF(ISERROR(HLOOKUP(V$41,Coms,$BY42,0)),0,HLOOKUP(V$41,Coms,$BY42,0))</f>
        <v>0.00116</v>
      </c>
      <c r="W42" s="101" t="n">
        <f aca="false">IF(ISERROR(HLOOKUP(W$41,Coms,$BY42,0)),0,HLOOKUP(W$41,Coms,$BY42,0))</f>
        <v>0.00106</v>
      </c>
      <c r="X42" s="101" t="n">
        <f aca="false">IF(ISERROR(HLOOKUP(X$41,Coms,$BY42,0)),0,HLOOKUP(X$41,Coms,$BY42,0))</f>
        <v>0.00103</v>
      </c>
      <c r="Y42" s="101" t="n">
        <f aca="false">IF(ISERROR(HLOOKUP(Y$41,Coms,$BY42,0)),0,HLOOKUP(Y$41,Coms,$BY42,0))</f>
        <v>0.00063</v>
      </c>
      <c r="Z42" s="101" t="n">
        <f aca="false">IF(ISERROR(HLOOKUP(Z$41,Coms,$BY42,0)),0,HLOOKUP(Z$41,Coms,$BY42,0))</f>
        <v>0.00125</v>
      </c>
      <c r="AA42" s="102" t="n">
        <f aca="false">IF(ISERROR(HLOOKUP(AA$41,Coms,$BY42,0)),0,HLOOKUP(AA$41,Coms,$BY42,0))</f>
        <v>0.00106</v>
      </c>
      <c r="AB42" s="97" t="n">
        <f aca="false">IF(ISERROR(HLOOKUP(AB$41,Coms,$BY42,0)),0,HLOOKUP(AB$41,Coms,$BY42,0))</f>
        <v>0.00015919261376909</v>
      </c>
      <c r="AC42" s="98" t="n">
        <f aca="false">IF(ISERROR(HLOOKUP(AC$41,Coms,$BY42,0)),0,HLOOKUP(AC$41,Coms,$BY42,0))</f>
        <v>9.78614995543887E-005</v>
      </c>
      <c r="AD42" s="98" t="n">
        <f aca="false">IF(ISERROR(HLOOKUP(AD$41,Coms,$BY42,0)),0,HLOOKUP(AD$41,Coms,$BY42,0))</f>
        <v>5.10418212527619E-005</v>
      </c>
      <c r="AE42" s="98" t="n">
        <f aca="false">IF(ISERROR(HLOOKUP(AE$41,Coms,$BY42,0)),0,HLOOKUP(AE$41,Coms,$BY42,0))</f>
        <v>0.00359</v>
      </c>
      <c r="AF42" s="98" t="n">
        <f aca="false">IF(ISERROR(HLOOKUP(AF$41,Coms,$BY42,0)),0,HLOOKUP(AF$41,Coms,$BY42,0))</f>
        <v>0.00359</v>
      </c>
      <c r="AG42" s="98" t="n">
        <f aca="false">IF(ISERROR(HLOOKUP(AG$41,Coms,$BY42,0)),0,HLOOKUP(AG$41,Coms,$BY42,0))</f>
        <v>0.000992797587399657</v>
      </c>
      <c r="AH42" s="98" t="n">
        <f aca="false">IF(ISERROR(HLOOKUP(AH$41,Coms,$BY42,0)),0,HLOOKUP(AH$41,Coms,$BY42,0))</f>
        <v>0.00419</v>
      </c>
      <c r="AI42" s="98" t="n">
        <f aca="false">IF(ISERROR(HLOOKUP(AI$41,Coms,$BY42,0)),0,HLOOKUP(AI$41,Coms,$BY42,0))</f>
        <v>0</v>
      </c>
      <c r="AJ42" s="98" t="n">
        <f aca="false">IF(ISERROR(HLOOKUP(AJ$41,Coms,$BY42,0)),0,HLOOKUP(AJ$41,Coms,$BY42,0))</f>
        <v>0</v>
      </c>
      <c r="AK42" s="98" t="n">
        <f aca="false">IF(ISERROR(HLOOKUP(AK$41,Coms,$BY42,0)),0,HLOOKUP(AK$41,Coms,$BY42,0))</f>
        <v>0</v>
      </c>
      <c r="AL42" s="98" t="n">
        <f aca="false">IF(ISERROR(HLOOKUP(AL$41,Coms,$BY42,0)),0,HLOOKUP(AL$41,Coms,$BY42,0))</f>
        <v>0</v>
      </c>
      <c r="AM42" s="98" t="n">
        <f aca="false">IF(ISERROR(HLOOKUP(AM$41,Coms,$BY42,0)),0,HLOOKUP(AM$41,Coms,$BY42,0))</f>
        <v>0</v>
      </c>
      <c r="AN42" s="99" t="n">
        <f aca="false">IF(ISERROR(HLOOKUP(AN$41,Coms,$BY42,0)),0,HLOOKUP(AN$41,Coms,$BY42,0))</f>
        <v>0</v>
      </c>
      <c r="AO42" s="100" t="n">
        <f aca="false">IF(ISERROR(HLOOKUP(AO$41,Coms,$BY42,0)),0,HLOOKUP(AO$41,Coms,$BY42,0))</f>
        <v>0.00259</v>
      </c>
      <c r="AP42" s="101" t="n">
        <f aca="false">IF(ISERROR(HLOOKUP(AP$41,Coms,$BY42,0)),0,HLOOKUP(AP$41,Coms,$BY42,0))</f>
        <v>0.00321</v>
      </c>
      <c r="AQ42" s="101" t="n">
        <f aca="false">IF(ISERROR(HLOOKUP(AQ$41,Coms,$BY42,0)),0,HLOOKUP(AQ$41,Coms,$BY42,0))</f>
        <v>0.00226</v>
      </c>
      <c r="AR42" s="101" t="n">
        <f aca="false">IF(ISERROR(HLOOKUP(AR$41,Coms,$BY42,0)),0,HLOOKUP(AR$41,Coms,$BY42,0))</f>
        <v>0.00121</v>
      </c>
      <c r="AS42" s="101" t="n">
        <f aca="false">IF(ISERROR(HLOOKUP(AS$41,Coms,$BY42,0)),0,HLOOKUP(AS$41,Coms,$BY42,0))</f>
        <v>0.00386</v>
      </c>
      <c r="AT42" s="101" t="n">
        <f aca="false">IF(ISERROR(HLOOKUP(AT$41,Coms,$BY42,0)),0,HLOOKUP(AT$41,Coms,$BY42,0))</f>
        <v>0.0035</v>
      </c>
      <c r="AU42" s="101" t="n">
        <f aca="false">IF(ISERROR(HLOOKUP(AU$41,Coms,$BY42,0)),0,HLOOKUP(AU$41,Coms,$BY42,0))</f>
        <v>0.00452</v>
      </c>
      <c r="AV42" s="101" t="n">
        <f aca="false">IF(ISERROR(HLOOKUP(AV$41,Coms,$BY42,0)),0,HLOOKUP(AV$41,Coms,$BY42,0))</f>
        <v>0.0067</v>
      </c>
      <c r="AW42" s="101" t="n">
        <f aca="false">IF(ISERROR(HLOOKUP(AW$41,Coms,$BY42,0)),0,HLOOKUP(AW$41,Coms,$BY42,0))</f>
        <v>0.00674</v>
      </c>
      <c r="AX42" s="101" t="n">
        <f aca="false">IF(ISERROR(HLOOKUP(AX$41,Coms,$BY42,0)),0,HLOOKUP(AX$41,Coms,$BY42,0))</f>
        <v>0.00231</v>
      </c>
      <c r="AY42" s="101" t="n">
        <f aca="false">IF(ISERROR(HLOOKUP(AY$41,Coms,$BY42,0)),0,HLOOKUP(AY$41,Coms,$BY42,0))</f>
        <v>0.00085</v>
      </c>
      <c r="AZ42" s="101" t="n">
        <f aca="false">IF(ISERROR(HLOOKUP(AZ$41,Coms,$BY42,0)),0,HLOOKUP(AZ$41,Coms,$BY42,0))</f>
        <v>0</v>
      </c>
      <c r="BA42" s="102" t="n">
        <f aca="false">IF(ISERROR(HLOOKUP(BA$41,Coms,$BY42,0)),0,HLOOKUP(BA$41,Coms,$BY42,0))</f>
        <v>0</v>
      </c>
      <c r="BB42" s="97" t="n">
        <f aca="false">IF(ISERROR(HLOOKUP(BB$41,Coms,$BY42,0)),0,HLOOKUP(BB$41,Coms,$BY42,0))</f>
        <v>0.00182</v>
      </c>
      <c r="BC42" s="98" t="n">
        <f aca="false">IF(ISERROR(HLOOKUP(BC$41,Coms,$BY42,0)),0,HLOOKUP(BC$41,Coms,$BY42,0))</f>
        <v>0.02372</v>
      </c>
      <c r="BD42" s="98" t="n">
        <f aca="false">IF(ISERROR(HLOOKUP(BD$41,Coms,$BY42,0)),0,HLOOKUP(BD$41,Coms,$BY42,0))</f>
        <v>0.00815046348450469</v>
      </c>
      <c r="BE42" s="98" t="n">
        <f aca="false">IF(ISERROR(HLOOKUP(BE$41,Coms,$BY42,0)),0,HLOOKUP(BE$41,Coms,$BY42,0))</f>
        <v>0.00815284589468362</v>
      </c>
      <c r="BF42" s="98" t="n">
        <f aca="false">IF(ISERROR(HLOOKUP(BF$41,Coms,$BY42,0)),0,HLOOKUP(BF$41,Coms,$BY42,0))</f>
        <v>0.0018</v>
      </c>
      <c r="BG42" s="98" t="n">
        <f aca="false">IF(ISERROR(HLOOKUP(BG$41,Coms,$BY42,0)),0,HLOOKUP(BG$41,Coms,$BY42,0))</f>
        <v>0.0018</v>
      </c>
      <c r="BH42" s="98" t="n">
        <f aca="false">IF(ISERROR(HLOOKUP(BH$41,Coms,$BY42,0)),0,HLOOKUP(BH$41,Coms,$BY42,0))</f>
        <v>0.00412</v>
      </c>
      <c r="BI42" s="98" t="n">
        <f aca="false">IF(ISERROR(HLOOKUP(BI$41,Coms,$BY42,0)),0,HLOOKUP(BI$41,Coms,$BY42,0))</f>
        <v>0.00714</v>
      </c>
      <c r="BJ42" s="98" t="n">
        <f aca="false">IF(ISERROR(HLOOKUP(BJ$41,Coms,$BY42,0)),0,HLOOKUP(BJ$41,Coms,$BY42,0))</f>
        <v>0</v>
      </c>
      <c r="BK42" s="98" t="n">
        <f aca="false">IF(ISERROR(HLOOKUP(BK$41,Coms,$BY42,0)),0,HLOOKUP(BK$41,Coms,$BY42,0))</f>
        <v>0</v>
      </c>
      <c r="BL42" s="98" t="n">
        <f aca="false">IF(ISERROR(HLOOKUP(BL$41,Coms,$BY42,0)),0,HLOOKUP(BL$41,Coms,$BY42,0))</f>
        <v>0</v>
      </c>
      <c r="BM42" s="98" t="n">
        <f aca="false">IF(ISERROR(HLOOKUP(BM$41,Coms,$BY42,0)),0,HLOOKUP(BM$41,Coms,$BY42,0))</f>
        <v>0</v>
      </c>
      <c r="BN42" s="99" t="n">
        <f aca="false">IF(ISERROR(HLOOKUP(BN$41,Coms,$BY42,0)),0,HLOOKUP(BN$41,Coms,$BY42,0))</f>
        <v>0</v>
      </c>
      <c r="BY42" s="4" t="n">
        <v>2</v>
      </c>
    </row>
    <row r="43" customFormat="false" ht="15.75" hidden="false" customHeight="true" outlineLevel="0" collapsed="false">
      <c r="A43" s="103" t="s">
        <v>25</v>
      </c>
      <c r="B43" s="97" t="n">
        <f aca="false">IF(ISERROR(HLOOKUP(B$41,Coms,$BY43,0)),0,HLOOKUP(B$41,Coms,$BY43,0))</f>
        <v>0.00736</v>
      </c>
      <c r="C43" s="98" t="n">
        <f aca="false">IF(ISERROR(HLOOKUP(C$41,Coms,$BY43,0)),0,HLOOKUP(C$41,Coms,$BY43,0))</f>
        <v>0.00923000000000001</v>
      </c>
      <c r="D43" s="98" t="n">
        <f aca="false">IF(ISERROR(HLOOKUP(D$41,Coms,$BY43,0)),0,HLOOKUP(D$41,Coms,$BY43,0))</f>
        <v>0.00986</v>
      </c>
      <c r="E43" s="98" t="n">
        <f aca="false">IF(ISERROR(HLOOKUP(E$41,Coms,$BY43,0)),0,HLOOKUP(E$41,Coms,$BY43,0))</f>
        <v>0.01173</v>
      </c>
      <c r="F43" s="98" t="n">
        <f aca="false">IF(ISERROR(HLOOKUP(F$41,Coms,$BY43,0)),0,HLOOKUP(F$41,Coms,$BY43,0))</f>
        <v>0.00924</v>
      </c>
      <c r="G43" s="98" t="n">
        <f aca="false">IF(ISERROR(HLOOKUP(G$41,Coms,$BY43,0)),0,HLOOKUP(G$41,Coms,$BY43,0))</f>
        <v>0.01045</v>
      </c>
      <c r="H43" s="98" t="n">
        <f aca="false">IF(ISERROR(HLOOKUP(H$41,Coms,$BY43,0)),0,HLOOKUP(H$41,Coms,$BY43,0))</f>
        <v>0.00827000000000001</v>
      </c>
      <c r="I43" s="98" t="n">
        <f aca="false">IF(ISERROR(HLOOKUP(I$41,Coms,$BY43,0)),0,HLOOKUP(I$41,Coms,$BY43,0))</f>
        <v>0.01198</v>
      </c>
      <c r="J43" s="98" t="n">
        <f aca="false">IF(ISERROR(HLOOKUP(J$41,Coms,$BY43,0)),0,HLOOKUP(J$41,Coms,$BY43,0))</f>
        <v>0.00769</v>
      </c>
      <c r="K43" s="98" t="n">
        <f aca="false">IF(ISERROR(HLOOKUP(K$41,Coms,$BY43,0)),0,HLOOKUP(K$41,Coms,$BY43,0))</f>
        <v>0.00866</v>
      </c>
      <c r="L43" s="98" t="n">
        <f aca="false">IF(ISERROR(HLOOKUP(L$41,Coms,$BY43,0)),0,HLOOKUP(L$41,Coms,$BY43,0))</f>
        <v>0.00866</v>
      </c>
      <c r="M43" s="98" t="n">
        <f aca="false">IF(ISERROR(HLOOKUP(M$41,Coms,$BY43,0)),0,HLOOKUP(M$41,Coms,$BY43,0))</f>
        <v>0.00802</v>
      </c>
      <c r="N43" s="99" t="n">
        <f aca="false">IF(ISERROR(HLOOKUP(N$41,Coms,$BY43,0)),0,HLOOKUP(N$41,Coms,$BY43,0))</f>
        <v>0.00962</v>
      </c>
      <c r="O43" s="100" t="n">
        <f aca="false">IF(ISERROR(HLOOKUP(O$41,Coms,$BY43,0)),0,HLOOKUP(O$41,Coms,$BY43,0))</f>
        <v>0.0102</v>
      </c>
      <c r="P43" s="101" t="n">
        <f aca="false">IF(ISERROR(HLOOKUP(P$41,Coms,$BY43,0)),0,HLOOKUP(P$41,Coms,$BY43,0))</f>
        <v>0.00795</v>
      </c>
      <c r="Q43" s="101" t="n">
        <f aca="false">IF(ISERROR(HLOOKUP(Q$41,Coms,$BY43,0)),0,HLOOKUP(Q$41,Coms,$BY43,0))</f>
        <v>0.00872</v>
      </c>
      <c r="R43" s="101" t="n">
        <f aca="false">IF(ISERROR(HLOOKUP(R$41,Coms,$BY43,0)),0,HLOOKUP(R$41,Coms,$BY43,0))</f>
        <v>0.00583</v>
      </c>
      <c r="S43" s="101" t="n">
        <f aca="false">IF(ISERROR(HLOOKUP(S$41,Coms,$BY43,0)),0,HLOOKUP(S$41,Coms,$BY43,0))</f>
        <v>0.0273080123376369</v>
      </c>
      <c r="T43" s="101" t="n">
        <f aca="false">IF(ISERROR(HLOOKUP(T$41,Coms,$BY43,0)),0,HLOOKUP(T$41,Coms,$BY43,0))</f>
        <v>0.00589</v>
      </c>
      <c r="U43" s="101" t="n">
        <f aca="false">IF(ISERROR(HLOOKUP(U$41,Coms,$BY43,0)),0,HLOOKUP(U$41,Coms,$BY43,0))</f>
        <v>0.00598</v>
      </c>
      <c r="V43" s="101" t="n">
        <f aca="false">IF(ISERROR(HLOOKUP(V$41,Coms,$BY43,0)),0,HLOOKUP(V$41,Coms,$BY43,0))</f>
        <v>0.00607</v>
      </c>
      <c r="W43" s="101" t="n">
        <f aca="false">IF(ISERROR(HLOOKUP(W$41,Coms,$BY43,0)),0,HLOOKUP(W$41,Coms,$BY43,0))</f>
        <v>0.00649</v>
      </c>
      <c r="X43" s="101" t="n">
        <f aca="false">IF(ISERROR(HLOOKUP(X$41,Coms,$BY43,0)),0,HLOOKUP(X$41,Coms,$BY43,0))</f>
        <v>0.00585</v>
      </c>
      <c r="Y43" s="101" t="n">
        <f aca="false">IF(ISERROR(HLOOKUP(Y$41,Coms,$BY43,0)),0,HLOOKUP(Y$41,Coms,$BY43,0))</f>
        <v>0.01904</v>
      </c>
      <c r="Z43" s="101" t="n">
        <f aca="false">IF(ISERROR(HLOOKUP(Z$41,Coms,$BY43,0)),0,HLOOKUP(Z$41,Coms,$BY43,0))</f>
        <v>0.00582</v>
      </c>
      <c r="AA43" s="102" t="n">
        <f aca="false">IF(ISERROR(HLOOKUP(AA$41,Coms,$BY43,0)),0,HLOOKUP(AA$41,Coms,$BY43,0))</f>
        <v>0.00929</v>
      </c>
      <c r="AB43" s="97" t="n">
        <f aca="false">IF(ISERROR(HLOOKUP(AB$41,Coms,$BY43,0)),0,HLOOKUP(AB$41,Coms,$BY43,0))</f>
        <v>0.00605452786008811</v>
      </c>
      <c r="AC43" s="98" t="n">
        <f aca="false">IF(ISERROR(HLOOKUP(AC$41,Coms,$BY43,0)),0,HLOOKUP(AC$41,Coms,$BY43,0))</f>
        <v>0.00589076109293569</v>
      </c>
      <c r="AD43" s="98" t="n">
        <f aca="false">IF(ISERROR(HLOOKUP(AD$41,Coms,$BY43,0)),0,HLOOKUP(AD$41,Coms,$BY43,0))</f>
        <v>0.00594280509347589</v>
      </c>
      <c r="AE43" s="98" t="n">
        <f aca="false">IF(ISERROR(HLOOKUP(AE$41,Coms,$BY43,0)),0,HLOOKUP(AE$41,Coms,$BY43,0))</f>
        <v>0.00847000000000001</v>
      </c>
      <c r="AF43" s="98" t="n">
        <f aca="false">IF(ISERROR(HLOOKUP(AF$41,Coms,$BY43,0)),0,HLOOKUP(AF$41,Coms,$BY43,0))</f>
        <v>0.00847</v>
      </c>
      <c r="AG43" s="98" t="n">
        <f aca="false">IF(ISERROR(HLOOKUP(AG$41,Coms,$BY43,0)),0,HLOOKUP(AG$41,Coms,$BY43,0))</f>
        <v>0.00602165275670235</v>
      </c>
      <c r="AH43" s="98" t="n">
        <f aca="false">IF(ISERROR(HLOOKUP(AH$41,Coms,$BY43,0)),0,HLOOKUP(AH$41,Coms,$BY43,0))</f>
        <v>0.0077</v>
      </c>
      <c r="AI43" s="98" t="n">
        <f aca="false">IF(ISERROR(HLOOKUP(AI$41,Coms,$BY43,0)),0,HLOOKUP(AI$41,Coms,$BY43,0))</f>
        <v>0</v>
      </c>
      <c r="AJ43" s="98" t="n">
        <f aca="false">IF(ISERROR(HLOOKUP(AJ$41,Coms,$BY43,0)),0,HLOOKUP(AJ$41,Coms,$BY43,0))</f>
        <v>0</v>
      </c>
      <c r="AK43" s="98" t="n">
        <f aca="false">IF(ISERROR(HLOOKUP(AK$41,Coms,$BY43,0)),0,HLOOKUP(AK$41,Coms,$BY43,0))</f>
        <v>0</v>
      </c>
      <c r="AL43" s="98" t="n">
        <f aca="false">IF(ISERROR(HLOOKUP(AL$41,Coms,$BY43,0)),0,HLOOKUP(AL$41,Coms,$BY43,0))</f>
        <v>0</v>
      </c>
      <c r="AM43" s="98" t="n">
        <f aca="false">IF(ISERROR(HLOOKUP(AM$41,Coms,$BY43,0)),0,HLOOKUP(AM$41,Coms,$BY43,0))</f>
        <v>0</v>
      </c>
      <c r="AN43" s="99" t="n">
        <f aca="false">IF(ISERROR(HLOOKUP(AN$41,Coms,$BY43,0)),0,HLOOKUP(AN$41,Coms,$BY43,0))</f>
        <v>0</v>
      </c>
      <c r="AO43" s="100" t="n">
        <f aca="false">IF(ISERROR(HLOOKUP(AO$41,Coms,$BY43,0)),0,HLOOKUP(AO$41,Coms,$BY43,0))</f>
        <v>0.01405</v>
      </c>
      <c r="AP43" s="101" t="n">
        <f aca="false">IF(ISERROR(HLOOKUP(AP$41,Coms,$BY43,0)),0,HLOOKUP(AP$41,Coms,$BY43,0))</f>
        <v>0.01291</v>
      </c>
      <c r="AQ43" s="101" t="n">
        <f aca="false">IF(ISERROR(HLOOKUP(AQ$41,Coms,$BY43,0)),0,HLOOKUP(AQ$41,Coms,$BY43,0))</f>
        <v>0.00596</v>
      </c>
      <c r="AR43" s="101" t="n">
        <f aca="false">IF(ISERROR(HLOOKUP(AR$41,Coms,$BY43,0)),0,HLOOKUP(AR$41,Coms,$BY43,0))</f>
        <v>0.00673</v>
      </c>
      <c r="AS43" s="101" t="n">
        <f aca="false">IF(ISERROR(HLOOKUP(AS$41,Coms,$BY43,0)),0,HLOOKUP(AS$41,Coms,$BY43,0))</f>
        <v>0.01243</v>
      </c>
      <c r="AT43" s="101" t="n">
        <f aca="false">IF(ISERROR(HLOOKUP(AT$41,Coms,$BY43,0)),0,HLOOKUP(AT$41,Coms,$BY43,0))</f>
        <v>0.01262</v>
      </c>
      <c r="AU43" s="101" t="n">
        <f aca="false">IF(ISERROR(HLOOKUP(AU$41,Coms,$BY43,0)),0,HLOOKUP(AU$41,Coms,$BY43,0))</f>
        <v>0.01557</v>
      </c>
      <c r="AV43" s="101" t="n">
        <f aca="false">IF(ISERROR(HLOOKUP(AV$41,Coms,$BY43,0)),0,HLOOKUP(AV$41,Coms,$BY43,0))</f>
        <v>0.01207</v>
      </c>
      <c r="AW43" s="101" t="n">
        <f aca="false">IF(ISERROR(HLOOKUP(AW$41,Coms,$BY43,0)),0,HLOOKUP(AW$41,Coms,$BY43,0))</f>
        <v>0.01324</v>
      </c>
      <c r="AX43" s="101" t="n">
        <f aca="false">IF(ISERROR(HLOOKUP(AX$41,Coms,$BY43,0)),0,HLOOKUP(AX$41,Coms,$BY43,0))</f>
        <v>0.00898</v>
      </c>
      <c r="AY43" s="101" t="n">
        <f aca="false">IF(ISERROR(HLOOKUP(AY$41,Coms,$BY43,0)),0,HLOOKUP(AY$41,Coms,$BY43,0))</f>
        <v>0.0077</v>
      </c>
      <c r="AZ43" s="101" t="n">
        <f aca="false">IF(ISERROR(HLOOKUP(AZ$41,Coms,$BY43,0)),0,HLOOKUP(AZ$41,Coms,$BY43,0))</f>
        <v>0</v>
      </c>
      <c r="BA43" s="102" t="n">
        <f aca="false">IF(ISERROR(HLOOKUP(BA$41,Coms,$BY43,0)),0,HLOOKUP(BA$41,Coms,$BY43,0))</f>
        <v>0</v>
      </c>
      <c r="BB43" s="97" t="n">
        <f aca="false">IF(ISERROR(HLOOKUP(BB$41,Coms,$BY43,0)),0,HLOOKUP(BB$41,Coms,$BY43,0))</f>
        <v>0.00667</v>
      </c>
      <c r="BC43" s="98" t="n">
        <f aca="false">IF(ISERROR(HLOOKUP(BC$41,Coms,$BY43,0)),0,HLOOKUP(BC$41,Coms,$BY43,0))</f>
        <v>0.01429</v>
      </c>
      <c r="BD43" s="98" t="n">
        <f aca="false">IF(ISERROR(HLOOKUP(BD$41,Coms,$BY43,0)),0,HLOOKUP(BD$41,Coms,$BY43,0))</f>
        <v>0.0109182936376362</v>
      </c>
      <c r="BE43" s="98" t="n">
        <f aca="false">IF(ISERROR(HLOOKUP(BE$41,Coms,$BY43,0)),0,HLOOKUP(BE$41,Coms,$BY43,0))</f>
        <v>0.0109173399029359</v>
      </c>
      <c r="BF43" s="98" t="n">
        <f aca="false">IF(ISERROR(HLOOKUP(BF$41,Coms,$BY43,0)),0,HLOOKUP(BF$41,Coms,$BY43,0))</f>
        <v>0.00631</v>
      </c>
      <c r="BG43" s="98" t="n">
        <f aca="false">IF(ISERROR(HLOOKUP(BG$41,Coms,$BY43,0)),0,HLOOKUP(BG$41,Coms,$BY43,0))</f>
        <v>0.00631</v>
      </c>
      <c r="BH43" s="98" t="n">
        <f aca="false">IF(ISERROR(HLOOKUP(BH$41,Coms,$BY43,0)),0,HLOOKUP(BH$41,Coms,$BY43,0))</f>
        <v>0.01991</v>
      </c>
      <c r="BI43" s="98" t="n">
        <f aca="false">IF(ISERROR(HLOOKUP(BI$41,Coms,$BY43,0)),0,HLOOKUP(BI$41,Coms,$BY43,0))</f>
        <v>0.01323</v>
      </c>
      <c r="BJ43" s="98" t="n">
        <f aca="false">IF(ISERROR(HLOOKUP(BJ$41,Coms,$BY43,0)),0,HLOOKUP(BJ$41,Coms,$BY43,0))</f>
        <v>0</v>
      </c>
      <c r="BK43" s="98" t="n">
        <f aca="false">IF(ISERROR(HLOOKUP(BK$41,Coms,$BY43,0)),0,HLOOKUP(BK$41,Coms,$BY43,0))</f>
        <v>0</v>
      </c>
      <c r="BL43" s="98" t="n">
        <f aca="false">IF(ISERROR(HLOOKUP(BL$41,Coms,$BY43,0)),0,HLOOKUP(BL$41,Coms,$BY43,0))</f>
        <v>0</v>
      </c>
      <c r="BM43" s="98" t="n">
        <f aca="false">IF(ISERROR(HLOOKUP(BM$41,Coms,$BY43,0)),0,HLOOKUP(BM$41,Coms,$BY43,0))</f>
        <v>0</v>
      </c>
      <c r="BN43" s="99" t="n">
        <f aca="false">IF(ISERROR(HLOOKUP(BN$41,Coms,$BY43,0)),0,HLOOKUP(BN$41,Coms,$BY43,0))</f>
        <v>0</v>
      </c>
      <c r="BY43" s="4" t="n">
        <v>3</v>
      </c>
    </row>
    <row r="44" customFormat="false" ht="15.75" hidden="false" customHeight="true" outlineLevel="0" collapsed="false">
      <c r="A44" s="103" t="s">
        <v>26</v>
      </c>
      <c r="B44" s="97" t="n">
        <f aca="false">IF(ISERROR(HLOOKUP(B$41,Coms,$BY44,0)),0,HLOOKUP(B$41,Coms,$BY44,0))</f>
        <v>0.81238</v>
      </c>
      <c r="C44" s="98" t="n">
        <f aca="false">IF(ISERROR(HLOOKUP(C$41,Coms,$BY44,0)),0,HLOOKUP(C$41,Coms,$BY44,0))</f>
        <v>0.8104</v>
      </c>
      <c r="D44" s="98" t="n">
        <f aca="false">IF(ISERROR(HLOOKUP(D$41,Coms,$BY44,0)),0,HLOOKUP(D$41,Coms,$BY44,0))</f>
        <v>0.79568</v>
      </c>
      <c r="E44" s="98" t="n">
        <f aca="false">IF(ISERROR(HLOOKUP(E$41,Coms,$BY44,0)),0,HLOOKUP(E$41,Coms,$BY44,0))</f>
        <v>0.78171</v>
      </c>
      <c r="F44" s="98" t="n">
        <f aca="false">IF(ISERROR(HLOOKUP(F$41,Coms,$BY44,0)),0,HLOOKUP(F$41,Coms,$BY44,0))</f>
        <v>0.7981</v>
      </c>
      <c r="G44" s="98" t="n">
        <f aca="false">IF(ISERROR(HLOOKUP(G$41,Coms,$BY44,0)),0,HLOOKUP(G$41,Coms,$BY44,0))</f>
        <v>0.78009</v>
      </c>
      <c r="H44" s="98" t="n">
        <f aca="false">IF(ISERROR(HLOOKUP(H$41,Coms,$BY44,0)),0,HLOOKUP(H$41,Coms,$BY44,0))</f>
        <v>0.78631</v>
      </c>
      <c r="I44" s="98" t="n">
        <f aca="false">IF(ISERROR(HLOOKUP(I$41,Coms,$BY44,0)),0,HLOOKUP(I$41,Coms,$BY44,0))</f>
        <v>0.78072</v>
      </c>
      <c r="J44" s="98" t="n">
        <f aca="false">IF(ISERROR(HLOOKUP(J$41,Coms,$BY44,0)),0,HLOOKUP(J$41,Coms,$BY44,0))</f>
        <v>0.70478</v>
      </c>
      <c r="K44" s="98" t="n">
        <f aca="false">IF(ISERROR(HLOOKUP(K$41,Coms,$BY44,0)),0,HLOOKUP(K$41,Coms,$BY44,0))</f>
        <v>0.77195</v>
      </c>
      <c r="L44" s="98" t="n">
        <f aca="false">IF(ISERROR(HLOOKUP(L$41,Coms,$BY44,0)),0,HLOOKUP(L$41,Coms,$BY44,0))</f>
        <v>0.77195</v>
      </c>
      <c r="M44" s="98" t="n">
        <f aca="false">IF(ISERROR(HLOOKUP(M$41,Coms,$BY44,0)),0,HLOOKUP(M$41,Coms,$BY44,0))</f>
        <v>0.7854</v>
      </c>
      <c r="N44" s="99" t="n">
        <f aca="false">IF(ISERROR(HLOOKUP(N$41,Coms,$BY44,0)),0,HLOOKUP(N$41,Coms,$BY44,0))</f>
        <v>0.7852</v>
      </c>
      <c r="O44" s="100" t="n">
        <f aca="false">IF(ISERROR(HLOOKUP(O$41,Coms,$BY44,0)),0,HLOOKUP(O$41,Coms,$BY44,0))</f>
        <v>0.7573</v>
      </c>
      <c r="P44" s="101" t="n">
        <f aca="false">IF(ISERROR(HLOOKUP(P$41,Coms,$BY44,0)),0,HLOOKUP(P$41,Coms,$BY44,0))</f>
        <v>0.78823</v>
      </c>
      <c r="Q44" s="101" t="n">
        <f aca="false">IF(ISERROR(HLOOKUP(Q$41,Coms,$BY44,0)),0,HLOOKUP(Q$41,Coms,$BY44,0))</f>
        <v>0.69481</v>
      </c>
      <c r="R44" s="101" t="n">
        <f aca="false">IF(ISERROR(HLOOKUP(R$41,Coms,$BY44,0)),0,HLOOKUP(R$41,Coms,$BY44,0))</f>
        <v>0.80962</v>
      </c>
      <c r="S44" s="101" t="n">
        <f aca="false">IF(ISERROR(HLOOKUP(S$41,Coms,$BY44,0)),0,HLOOKUP(S$41,Coms,$BY44,0))</f>
        <v>0.8022826434983</v>
      </c>
      <c r="T44" s="101" t="n">
        <f aca="false">IF(ISERROR(HLOOKUP(T$41,Coms,$BY44,0)),0,HLOOKUP(T$41,Coms,$BY44,0))</f>
        <v>0.80804</v>
      </c>
      <c r="U44" s="101" t="n">
        <f aca="false">IF(ISERROR(HLOOKUP(U$41,Coms,$BY44,0)),0,HLOOKUP(U$41,Coms,$BY44,0))</f>
        <v>0.8224</v>
      </c>
      <c r="V44" s="101" t="n">
        <f aca="false">IF(ISERROR(HLOOKUP(V$41,Coms,$BY44,0)),0,HLOOKUP(V$41,Coms,$BY44,0))</f>
        <v>0.80086</v>
      </c>
      <c r="W44" s="101" t="n">
        <f aca="false">IF(ISERROR(HLOOKUP(W$41,Coms,$BY44,0)),0,HLOOKUP(W$41,Coms,$BY44,0))</f>
        <v>0.80641</v>
      </c>
      <c r="X44" s="101" t="n">
        <f aca="false">IF(ISERROR(HLOOKUP(X$41,Coms,$BY44,0)),0,HLOOKUP(X$41,Coms,$BY44,0))</f>
        <v>0.79578</v>
      </c>
      <c r="Y44" s="101" t="n">
        <f aca="false">IF(ISERROR(HLOOKUP(Y$41,Coms,$BY44,0)),0,HLOOKUP(Y$41,Coms,$BY44,0))</f>
        <v>0.79513</v>
      </c>
      <c r="Z44" s="101" t="n">
        <f aca="false">IF(ISERROR(HLOOKUP(Z$41,Coms,$BY44,0)),0,HLOOKUP(Z$41,Coms,$BY44,0))</f>
        <v>0.81076</v>
      </c>
      <c r="AA44" s="102" t="n">
        <f aca="false">IF(ISERROR(HLOOKUP(AA$41,Coms,$BY44,0)),0,HLOOKUP(AA$41,Coms,$BY44,0))</f>
        <v>0.77622</v>
      </c>
      <c r="AB44" s="97" t="n">
        <f aca="false">IF(ISERROR(HLOOKUP(AB$41,Coms,$BY44,0)),0,HLOOKUP(AB$41,Coms,$BY44,0))</f>
        <v>0.807794004763849</v>
      </c>
      <c r="AC44" s="98" t="n">
        <f aca="false">IF(ISERROR(HLOOKUP(AC$41,Coms,$BY44,0)),0,HLOOKUP(AC$41,Coms,$BY44,0))</f>
        <v>0.806150897886608</v>
      </c>
      <c r="AD44" s="98" t="n">
        <f aca="false">IF(ISERROR(HLOOKUP(AD$41,Coms,$BY44,0)),0,HLOOKUP(AD$41,Coms,$BY44,0))</f>
        <v>0.812786633933168</v>
      </c>
      <c r="AE44" s="98" t="n">
        <f aca="false">IF(ISERROR(HLOOKUP(AE$41,Coms,$BY44,0)),0,HLOOKUP(AE$41,Coms,$BY44,0))</f>
        <v>0.80724</v>
      </c>
      <c r="AF44" s="98" t="n">
        <f aca="false">IF(ISERROR(HLOOKUP(AF$41,Coms,$BY44,0)),0,HLOOKUP(AF$41,Coms,$BY44,0))</f>
        <v>0.80724</v>
      </c>
      <c r="AG44" s="98" t="n">
        <f aca="false">IF(ISERROR(HLOOKUP(AG$41,Coms,$BY44,0)),0,HLOOKUP(AG$41,Coms,$BY44,0))</f>
        <v>0.791603281445004</v>
      </c>
      <c r="AH44" s="98" t="n">
        <f aca="false">IF(ISERROR(HLOOKUP(AH$41,Coms,$BY44,0)),0,HLOOKUP(AH$41,Coms,$BY44,0))</f>
        <v>0.82547</v>
      </c>
      <c r="AI44" s="98" t="n">
        <f aca="false">IF(ISERROR(HLOOKUP(AI$41,Coms,$BY44,0)),0,HLOOKUP(AI$41,Coms,$BY44,0))</f>
        <v>0</v>
      </c>
      <c r="AJ44" s="98" t="n">
        <f aca="false">IF(ISERROR(HLOOKUP(AJ$41,Coms,$BY44,0)),0,HLOOKUP(AJ$41,Coms,$BY44,0))</f>
        <v>0</v>
      </c>
      <c r="AK44" s="98" t="n">
        <f aca="false">IF(ISERROR(HLOOKUP(AK$41,Coms,$BY44,0)),0,HLOOKUP(AK$41,Coms,$BY44,0))</f>
        <v>0</v>
      </c>
      <c r="AL44" s="98" t="n">
        <f aca="false">IF(ISERROR(HLOOKUP(AL$41,Coms,$BY44,0)),0,HLOOKUP(AL$41,Coms,$BY44,0))</f>
        <v>0</v>
      </c>
      <c r="AM44" s="98" t="n">
        <f aca="false">IF(ISERROR(HLOOKUP(AM$41,Coms,$BY44,0)),0,HLOOKUP(AM$41,Coms,$BY44,0))</f>
        <v>0</v>
      </c>
      <c r="AN44" s="99" t="n">
        <f aca="false">IF(ISERROR(HLOOKUP(AN$41,Coms,$BY44,0)),0,HLOOKUP(AN$41,Coms,$BY44,0))</f>
        <v>0</v>
      </c>
      <c r="AO44" s="100" t="n">
        <f aca="false">IF(ISERROR(HLOOKUP(AO$41,Coms,$BY44,0)),0,HLOOKUP(AO$41,Coms,$BY44,0))</f>
        <v>0.7014</v>
      </c>
      <c r="AP44" s="101" t="n">
        <f aca="false">IF(ISERROR(HLOOKUP(AP$41,Coms,$BY44,0)),0,HLOOKUP(AP$41,Coms,$BY44,0))</f>
        <v>0.70355</v>
      </c>
      <c r="AQ44" s="101" t="n">
        <f aca="false">IF(ISERROR(HLOOKUP(AQ$41,Coms,$BY44,0)),0,HLOOKUP(AQ$41,Coms,$BY44,0))</f>
        <v>0.84175</v>
      </c>
      <c r="AR44" s="101" t="n">
        <f aca="false">IF(ISERROR(HLOOKUP(AR$41,Coms,$BY44,0)),0,HLOOKUP(AR$41,Coms,$BY44,0))</f>
        <v>0.84205</v>
      </c>
      <c r="AS44" s="101" t="n">
        <f aca="false">IF(ISERROR(HLOOKUP(AS$41,Coms,$BY44,0)),0,HLOOKUP(AS$41,Coms,$BY44,0))</f>
        <v>0.66996</v>
      </c>
      <c r="AT44" s="101" t="n">
        <f aca="false">IF(ISERROR(HLOOKUP(AT$41,Coms,$BY44,0)),0,HLOOKUP(AT$41,Coms,$BY44,0))</f>
        <v>0.69271</v>
      </c>
      <c r="AU44" s="101" t="n">
        <f aca="false">IF(ISERROR(HLOOKUP(AU$41,Coms,$BY44,0)),0,HLOOKUP(AU$41,Coms,$BY44,0))</f>
        <v>0.68605</v>
      </c>
      <c r="AV44" s="101" t="n">
        <f aca="false">IF(ISERROR(HLOOKUP(AV$41,Coms,$BY44,0)),0,HLOOKUP(AV$41,Coms,$BY44,0))</f>
        <v>0.69703</v>
      </c>
      <c r="AW44" s="101" t="n">
        <f aca="false">IF(ISERROR(HLOOKUP(AW$41,Coms,$BY44,0)),0,HLOOKUP(AW$41,Coms,$BY44,0))</f>
        <v>0.6768</v>
      </c>
      <c r="AX44" s="101" t="n">
        <f aca="false">IF(ISERROR(HLOOKUP(AX$41,Coms,$BY44,0)),0,HLOOKUP(AX$41,Coms,$BY44,0))</f>
        <v>0.77321</v>
      </c>
      <c r="AY44" s="101" t="n">
        <f aca="false">IF(ISERROR(HLOOKUP(AY$41,Coms,$BY44,0)),0,HLOOKUP(AY$41,Coms,$BY44,0))</f>
        <v>0.73096</v>
      </c>
      <c r="AZ44" s="101" t="n">
        <f aca="false">IF(ISERROR(HLOOKUP(AZ$41,Coms,$BY44,0)),0,HLOOKUP(AZ$41,Coms,$BY44,0))</f>
        <v>0</v>
      </c>
      <c r="BA44" s="102" t="n">
        <f aca="false">IF(ISERROR(HLOOKUP(BA$41,Coms,$BY44,0)),0,HLOOKUP(BA$41,Coms,$BY44,0))</f>
        <v>0</v>
      </c>
      <c r="BB44" s="97" t="n">
        <f aca="false">IF(ISERROR(HLOOKUP(BB$41,Coms,$BY44,0)),0,HLOOKUP(BB$41,Coms,$BY44,0))</f>
        <v>0.84115</v>
      </c>
      <c r="BC44" s="98" t="n">
        <f aca="false">IF(ISERROR(HLOOKUP(BC$41,Coms,$BY44,0)),0,HLOOKUP(BC$41,Coms,$BY44,0))</f>
        <v>0.7831</v>
      </c>
      <c r="BD44" s="98" t="n">
        <f aca="false">IF(ISERROR(HLOOKUP(BD$41,Coms,$BY44,0)),0,HLOOKUP(BD$41,Coms,$BY44,0))</f>
        <v>0.791761852262325</v>
      </c>
      <c r="BE44" s="98" t="n">
        <f aca="false">IF(ISERROR(HLOOKUP(BE$41,Coms,$BY44,0)),0,HLOOKUP(BE$41,Coms,$BY44,0))</f>
        <v>0.791767428241092</v>
      </c>
      <c r="BF44" s="98" t="n">
        <f aca="false">IF(ISERROR(HLOOKUP(BF$41,Coms,$BY44,0)),0,HLOOKUP(BF$41,Coms,$BY44,0))</f>
        <v>0.85971</v>
      </c>
      <c r="BG44" s="98" t="n">
        <f aca="false">IF(ISERROR(HLOOKUP(BG$41,Coms,$BY44,0)),0,HLOOKUP(BG$41,Coms,$BY44,0))</f>
        <v>0.85971</v>
      </c>
      <c r="BH44" s="98" t="n">
        <f aca="false">IF(ISERROR(HLOOKUP(BH$41,Coms,$BY44,0)),0,HLOOKUP(BH$41,Coms,$BY44,0))</f>
        <v>0.79423</v>
      </c>
      <c r="BI44" s="98" t="n">
        <f aca="false">IF(ISERROR(HLOOKUP(BI$41,Coms,$BY44,0)),0,HLOOKUP(BI$41,Coms,$BY44,0))</f>
        <v>0.7166</v>
      </c>
      <c r="BJ44" s="98" t="n">
        <f aca="false">IF(ISERROR(HLOOKUP(BJ$41,Coms,$BY44,0)),0,HLOOKUP(BJ$41,Coms,$BY44,0))</f>
        <v>0</v>
      </c>
      <c r="BK44" s="98" t="n">
        <f aca="false">IF(ISERROR(HLOOKUP(BK$41,Coms,$BY44,0)),0,HLOOKUP(BK$41,Coms,$BY44,0))</f>
        <v>0</v>
      </c>
      <c r="BL44" s="98" t="n">
        <f aca="false">IF(ISERROR(HLOOKUP(BL$41,Coms,$BY44,0)),0,HLOOKUP(BL$41,Coms,$BY44,0))</f>
        <v>0</v>
      </c>
      <c r="BM44" s="98" t="n">
        <f aca="false">IF(ISERROR(HLOOKUP(BM$41,Coms,$BY44,0)),0,HLOOKUP(BM$41,Coms,$BY44,0))</f>
        <v>0</v>
      </c>
      <c r="BN44" s="99" t="n">
        <f aca="false">IF(ISERROR(HLOOKUP(BN$41,Coms,$BY44,0)),0,HLOOKUP(BN$41,Coms,$BY44,0))</f>
        <v>0</v>
      </c>
      <c r="BY44" s="4" t="n">
        <v>4</v>
      </c>
    </row>
    <row r="45" customFormat="false" ht="15.75" hidden="false" customHeight="true" outlineLevel="0" collapsed="false">
      <c r="A45" s="103" t="s">
        <v>27</v>
      </c>
      <c r="B45" s="97" t="n">
        <f aca="false">IF(ISERROR(HLOOKUP(B$41,Coms,$BY45,0)),0,HLOOKUP(B$41,Coms,$BY45,0))</f>
        <v>0.10675</v>
      </c>
      <c r="C45" s="98" t="n">
        <f aca="false">IF(ISERROR(HLOOKUP(C$41,Coms,$BY45,0)),0,HLOOKUP(C$41,Coms,$BY45,0))</f>
        <v>0.10067</v>
      </c>
      <c r="D45" s="98" t="n">
        <f aca="false">IF(ISERROR(HLOOKUP(D$41,Coms,$BY45,0)),0,HLOOKUP(D$41,Coms,$BY45,0))</f>
        <v>0.11194</v>
      </c>
      <c r="E45" s="98" t="n">
        <f aca="false">IF(ISERROR(HLOOKUP(E$41,Coms,$BY45,0)),0,HLOOKUP(E$41,Coms,$BY45,0))</f>
        <v>0.10944</v>
      </c>
      <c r="F45" s="98" t="n">
        <f aca="false">IF(ISERROR(HLOOKUP(F$41,Coms,$BY45,0)),0,HLOOKUP(F$41,Coms,$BY45,0))</f>
        <v>0.10702</v>
      </c>
      <c r="G45" s="98" t="n">
        <f aca="false">IF(ISERROR(HLOOKUP(G$41,Coms,$BY45,0)),0,HLOOKUP(G$41,Coms,$BY45,0))</f>
        <v>0.11578</v>
      </c>
      <c r="H45" s="98" t="n">
        <f aca="false">IF(ISERROR(HLOOKUP(H$41,Coms,$BY45,0)),0,HLOOKUP(H$41,Coms,$BY45,0))</f>
        <v>0.11052</v>
      </c>
      <c r="I45" s="98" t="n">
        <f aca="false">IF(ISERROR(HLOOKUP(I$41,Coms,$BY45,0)),0,HLOOKUP(I$41,Coms,$BY45,0))</f>
        <v>0.10824</v>
      </c>
      <c r="J45" s="98" t="n">
        <f aca="false">IF(ISERROR(HLOOKUP(J$41,Coms,$BY45,0)),0,HLOOKUP(J$41,Coms,$BY45,0))</f>
        <v>0.14337</v>
      </c>
      <c r="K45" s="98" t="n">
        <f aca="false">IF(ISERROR(HLOOKUP(K$41,Coms,$BY45,0)),0,HLOOKUP(K$41,Coms,$BY45,0))</f>
        <v>0.11392</v>
      </c>
      <c r="L45" s="98" t="n">
        <f aca="false">IF(ISERROR(HLOOKUP(L$41,Coms,$BY45,0)),0,HLOOKUP(L$41,Coms,$BY45,0))</f>
        <v>0.11392</v>
      </c>
      <c r="M45" s="98" t="n">
        <f aca="false">IF(ISERROR(HLOOKUP(M$41,Coms,$BY45,0)),0,HLOOKUP(M$41,Coms,$BY45,0))</f>
        <v>0.11158</v>
      </c>
      <c r="N45" s="99" t="n">
        <f aca="false">IF(ISERROR(HLOOKUP(N$41,Coms,$BY45,0)),0,HLOOKUP(N$41,Coms,$BY45,0))</f>
        <v>0.11321</v>
      </c>
      <c r="O45" s="100" t="n">
        <f aca="false">IF(ISERROR(HLOOKUP(O$41,Coms,$BY45,0)),0,HLOOKUP(O$41,Coms,$BY45,0))</f>
        <v>0.12299</v>
      </c>
      <c r="P45" s="101" t="n">
        <f aca="false">IF(ISERROR(HLOOKUP(P$41,Coms,$BY45,0)),0,HLOOKUP(P$41,Coms,$BY45,0))</f>
        <v>0.11069</v>
      </c>
      <c r="Q45" s="101" t="n">
        <f aca="false">IF(ISERROR(HLOOKUP(Q$41,Coms,$BY45,0)),0,HLOOKUP(Q$41,Coms,$BY45,0))</f>
        <v>0.14651</v>
      </c>
      <c r="R45" s="101" t="n">
        <f aca="false">IF(ISERROR(HLOOKUP(R$41,Coms,$BY45,0)),0,HLOOKUP(R$41,Coms,$BY45,0))</f>
        <v>0.10678</v>
      </c>
      <c r="S45" s="101" t="n">
        <f aca="false">IF(ISERROR(HLOOKUP(S$41,Coms,$BY45,0)),0,HLOOKUP(S$41,Coms,$BY45,0))</f>
        <v>0.107605031009705</v>
      </c>
      <c r="T45" s="101" t="n">
        <f aca="false">IF(ISERROR(HLOOKUP(T$41,Coms,$BY45,0)),0,HLOOKUP(T$41,Coms,$BY45,0))</f>
        <v>0.10688</v>
      </c>
      <c r="U45" s="101" t="n">
        <f aca="false">IF(ISERROR(HLOOKUP(U$41,Coms,$BY45,0)),0,HLOOKUP(U$41,Coms,$BY45,0))</f>
        <v>0.10975</v>
      </c>
      <c r="V45" s="101" t="n">
        <f aca="false">IF(ISERROR(HLOOKUP(V$41,Coms,$BY45,0)),0,HLOOKUP(V$41,Coms,$BY45,0))</f>
        <v>0.10925</v>
      </c>
      <c r="W45" s="101" t="n">
        <f aca="false">IF(ISERROR(HLOOKUP(W$41,Coms,$BY45,0)),0,HLOOKUP(W$41,Coms,$BY45,0))</f>
        <v>0.10992</v>
      </c>
      <c r="X45" s="101" t="n">
        <f aca="false">IF(ISERROR(HLOOKUP(X$41,Coms,$BY45,0)),0,HLOOKUP(X$41,Coms,$BY45,0))</f>
        <v>0.11038</v>
      </c>
      <c r="Y45" s="101" t="n">
        <f aca="false">IF(ISERROR(HLOOKUP(Y$41,Coms,$BY45,0)),0,HLOOKUP(Y$41,Coms,$BY45,0))</f>
        <v>0.10982</v>
      </c>
      <c r="Z45" s="101" t="n">
        <f aca="false">IF(ISERROR(HLOOKUP(Z$41,Coms,$BY45,0)),0,HLOOKUP(Z$41,Coms,$BY45,0))</f>
        <v>0.10555</v>
      </c>
      <c r="AA45" s="102" t="n">
        <f aca="false">IF(ISERROR(HLOOKUP(AA$41,Coms,$BY45,0)),0,HLOOKUP(AA$41,Coms,$BY45,0))</f>
        <v>0.1139</v>
      </c>
      <c r="AB45" s="97" t="n">
        <f aca="false">IF(ISERROR(HLOOKUP(AB$41,Coms,$BY45,0)),0,HLOOKUP(AB$41,Coms,$BY45,0))</f>
        <v>0.105911153981741</v>
      </c>
      <c r="AC45" s="98" t="n">
        <f aca="false">IF(ISERROR(HLOOKUP(AC$41,Coms,$BY45,0)),0,HLOOKUP(AC$41,Coms,$BY45,0))</f>
        <v>0.106346550125933</v>
      </c>
      <c r="AD45" s="98" t="n">
        <f aca="false">IF(ISERROR(HLOOKUP(AD$41,Coms,$BY45,0)),0,HLOOKUP(AD$41,Coms,$BY45,0))</f>
        <v>0.105018070990961</v>
      </c>
      <c r="AE45" s="98" t="n">
        <f aca="false">IF(ISERROR(HLOOKUP(AE$41,Coms,$BY45,0)),0,HLOOKUP(AE$41,Coms,$BY45,0))</f>
        <v>0.10702</v>
      </c>
      <c r="AF45" s="98" t="n">
        <f aca="false">IF(ISERROR(HLOOKUP(AF$41,Coms,$BY45,0)),0,HLOOKUP(AF$41,Coms,$BY45,0))</f>
        <v>0.10702</v>
      </c>
      <c r="AG45" s="98" t="n">
        <f aca="false">IF(ISERROR(HLOOKUP(AG$41,Coms,$BY45,0)),0,HLOOKUP(AG$41,Coms,$BY45,0))</f>
        <v>0.111755138206189</v>
      </c>
      <c r="AH45" s="98" t="n">
        <f aca="false">IF(ISERROR(HLOOKUP(AH$41,Coms,$BY45,0)),0,HLOOKUP(AH$41,Coms,$BY45,0))</f>
        <v>0.08933</v>
      </c>
      <c r="AI45" s="98" t="n">
        <f aca="false">IF(ISERROR(HLOOKUP(AI$41,Coms,$BY45,0)),0,HLOOKUP(AI$41,Coms,$BY45,0))</f>
        <v>0</v>
      </c>
      <c r="AJ45" s="98" t="n">
        <f aca="false">IF(ISERROR(HLOOKUP(AJ$41,Coms,$BY45,0)),0,HLOOKUP(AJ$41,Coms,$BY45,0))</f>
        <v>0</v>
      </c>
      <c r="AK45" s="98" t="n">
        <f aca="false">IF(ISERROR(HLOOKUP(AK$41,Coms,$BY45,0)),0,HLOOKUP(AK$41,Coms,$BY45,0))</f>
        <v>0</v>
      </c>
      <c r="AL45" s="98" t="n">
        <f aca="false">IF(ISERROR(HLOOKUP(AL$41,Coms,$BY45,0)),0,HLOOKUP(AL$41,Coms,$BY45,0))</f>
        <v>0</v>
      </c>
      <c r="AM45" s="98" t="n">
        <f aca="false">IF(ISERROR(HLOOKUP(AM$41,Coms,$BY45,0)),0,HLOOKUP(AM$41,Coms,$BY45,0))</f>
        <v>0</v>
      </c>
      <c r="AN45" s="99" t="n">
        <f aca="false">IF(ISERROR(HLOOKUP(AN$41,Coms,$BY45,0)),0,HLOOKUP(AN$41,Coms,$BY45,0))</f>
        <v>0</v>
      </c>
      <c r="AO45" s="100" t="n">
        <f aca="false">IF(ISERROR(HLOOKUP(AO$41,Coms,$BY45,0)),0,HLOOKUP(AO$41,Coms,$BY45,0))</f>
        <v>0.12827</v>
      </c>
      <c r="AP45" s="101" t="n">
        <f aca="false">IF(ISERROR(HLOOKUP(AP$41,Coms,$BY45,0)),0,HLOOKUP(AP$41,Coms,$BY45,0))</f>
        <v>0.12637</v>
      </c>
      <c r="AQ45" s="101" t="n">
        <f aca="false">IF(ISERROR(HLOOKUP(AQ$41,Coms,$BY45,0)),0,HLOOKUP(AQ$41,Coms,$BY45,0))</f>
        <v>0.0774</v>
      </c>
      <c r="AR45" s="101" t="n">
        <f aca="false">IF(ISERROR(HLOOKUP(AR$41,Coms,$BY45,0)),0,HLOOKUP(AR$41,Coms,$BY45,0))</f>
        <v>0.07615</v>
      </c>
      <c r="AS45" s="101" t="n">
        <f aca="false">IF(ISERROR(HLOOKUP(AS$41,Coms,$BY45,0)),0,HLOOKUP(AS$41,Coms,$BY45,0))</f>
        <v>0.12796</v>
      </c>
      <c r="AT45" s="101" t="n">
        <f aca="false">IF(ISERROR(HLOOKUP(AT$41,Coms,$BY45,0)),0,HLOOKUP(AT$41,Coms,$BY45,0))</f>
        <v>0.13537</v>
      </c>
      <c r="AU45" s="101" t="n">
        <f aca="false">IF(ISERROR(HLOOKUP(AU$41,Coms,$BY45,0)),0,HLOOKUP(AU$41,Coms,$BY45,0))</f>
        <v>0.13605</v>
      </c>
      <c r="AV45" s="101" t="n">
        <f aca="false">IF(ISERROR(HLOOKUP(AV$41,Coms,$BY45,0)),0,HLOOKUP(AV$41,Coms,$BY45,0))</f>
        <v>0.13688</v>
      </c>
      <c r="AW45" s="101" t="n">
        <f aca="false">IF(ISERROR(HLOOKUP(AW$41,Coms,$BY45,0)),0,HLOOKUP(AW$41,Coms,$BY45,0))</f>
        <v>0.13238</v>
      </c>
      <c r="AX45" s="101" t="n">
        <f aca="false">IF(ISERROR(HLOOKUP(AX$41,Coms,$BY45,0)),0,HLOOKUP(AX$41,Coms,$BY45,0))</f>
        <v>0.0942</v>
      </c>
      <c r="AY45" s="101" t="n">
        <f aca="false">IF(ISERROR(HLOOKUP(AY$41,Coms,$BY45,0)),0,HLOOKUP(AY$41,Coms,$BY45,0))</f>
        <v>0.13183</v>
      </c>
      <c r="AZ45" s="101" t="n">
        <f aca="false">IF(ISERROR(HLOOKUP(AZ$41,Coms,$BY45,0)),0,HLOOKUP(AZ$41,Coms,$BY45,0))</f>
        <v>0</v>
      </c>
      <c r="BA45" s="102" t="n">
        <f aca="false">IF(ISERROR(HLOOKUP(BA$41,Coms,$BY45,0)),0,HLOOKUP(BA$41,Coms,$BY45,0))</f>
        <v>0</v>
      </c>
      <c r="BB45" s="97" t="n">
        <f aca="false">IF(ISERROR(HLOOKUP(BB$41,Coms,$BY45,0)),0,HLOOKUP(BB$41,Coms,$BY45,0))</f>
        <v>0.07703</v>
      </c>
      <c r="BC45" s="98" t="n">
        <f aca="false">IF(ISERROR(HLOOKUP(BC$41,Coms,$BY45,0)),0,HLOOKUP(BC$41,Coms,$BY45,0))</f>
        <v>0.09607</v>
      </c>
      <c r="BD45" s="98" t="n">
        <f aca="false">IF(ISERROR(HLOOKUP(BD$41,Coms,$BY45,0)),0,HLOOKUP(BD$41,Coms,$BY45,0))</f>
        <v>0.0943309497965537</v>
      </c>
      <c r="BE45" s="98" t="n">
        <f aca="false">IF(ISERROR(HLOOKUP(BE$41,Coms,$BY45,0)),0,HLOOKUP(BE$41,Coms,$BY45,0))</f>
        <v>0.0943254332576026</v>
      </c>
      <c r="BF45" s="98" t="n">
        <f aca="false">IF(ISERROR(HLOOKUP(BF$41,Coms,$BY45,0)),0,HLOOKUP(BF$41,Coms,$BY45,0))</f>
        <v>0.07221</v>
      </c>
      <c r="BG45" s="98" t="n">
        <f aca="false">IF(ISERROR(HLOOKUP(BG$41,Coms,$BY45,0)),0,HLOOKUP(BG$41,Coms,$BY45,0))</f>
        <v>0.07221</v>
      </c>
      <c r="BH45" s="98" t="n">
        <f aca="false">IF(ISERROR(HLOOKUP(BH$41,Coms,$BY45,0)),0,HLOOKUP(BH$41,Coms,$BY45,0))</f>
        <v>0.08872</v>
      </c>
      <c r="BI45" s="98" t="n">
        <f aca="false">IF(ISERROR(HLOOKUP(BI$41,Coms,$BY45,0)),0,HLOOKUP(BI$41,Coms,$BY45,0))</f>
        <v>0.12662</v>
      </c>
      <c r="BJ45" s="98" t="n">
        <f aca="false">IF(ISERROR(HLOOKUP(BJ$41,Coms,$BY45,0)),0,HLOOKUP(BJ$41,Coms,$BY45,0))</f>
        <v>0</v>
      </c>
      <c r="BK45" s="98" t="n">
        <f aca="false">IF(ISERROR(HLOOKUP(BK$41,Coms,$BY45,0)),0,HLOOKUP(BK$41,Coms,$BY45,0))</f>
        <v>0</v>
      </c>
      <c r="BL45" s="98" t="n">
        <f aca="false">IF(ISERROR(HLOOKUP(BL$41,Coms,$BY45,0)),0,HLOOKUP(BL$41,Coms,$BY45,0))</f>
        <v>0</v>
      </c>
      <c r="BM45" s="98" t="n">
        <f aca="false">IF(ISERROR(HLOOKUP(BM$41,Coms,$BY45,0)),0,HLOOKUP(BM$41,Coms,$BY45,0))</f>
        <v>0</v>
      </c>
      <c r="BN45" s="99" t="n">
        <f aca="false">IF(ISERROR(HLOOKUP(BN$41,Coms,$BY45,0)),0,HLOOKUP(BN$41,Coms,$BY45,0))</f>
        <v>0</v>
      </c>
      <c r="BY45" s="4" t="n">
        <v>5</v>
      </c>
    </row>
    <row r="46" customFormat="false" ht="15.75" hidden="false" customHeight="true" outlineLevel="0" collapsed="false">
      <c r="A46" s="103" t="s">
        <v>28</v>
      </c>
      <c r="B46" s="97" t="n">
        <f aca="false">IF(ISERROR(HLOOKUP(B$41,Coms,$BY46,0)),0,HLOOKUP(B$41,Coms,$BY46,0))</f>
        <v>0.03984</v>
      </c>
      <c r="C46" s="98" t="n">
        <f aca="false">IF(ISERROR(HLOOKUP(C$41,Coms,$BY46,0)),0,HLOOKUP(C$41,Coms,$BY46,0))</f>
        <v>0.03911</v>
      </c>
      <c r="D46" s="98" t="n">
        <f aca="false">IF(ISERROR(HLOOKUP(D$41,Coms,$BY46,0)),0,HLOOKUP(D$41,Coms,$BY46,0))</f>
        <v>0.04827</v>
      </c>
      <c r="E46" s="98" t="n">
        <f aca="false">IF(ISERROR(HLOOKUP(E$41,Coms,$BY46,0)),0,HLOOKUP(E$41,Coms,$BY46,0))</f>
        <v>0.04824</v>
      </c>
      <c r="F46" s="98" t="n">
        <f aca="false">IF(ISERROR(HLOOKUP(F$41,Coms,$BY46,0)),0,HLOOKUP(F$41,Coms,$BY46,0))</f>
        <v>0.0462</v>
      </c>
      <c r="G46" s="98" t="n">
        <f aca="false">IF(ISERROR(HLOOKUP(G$41,Coms,$BY46,0)),0,HLOOKUP(G$41,Coms,$BY46,0))</f>
        <v>0.05413</v>
      </c>
      <c r="H46" s="98" t="n">
        <f aca="false">IF(ISERROR(HLOOKUP(H$41,Coms,$BY46,0)),0,HLOOKUP(H$41,Coms,$BY46,0))</f>
        <v>0.04952</v>
      </c>
      <c r="I46" s="98" t="n">
        <f aca="false">IF(ISERROR(HLOOKUP(I$41,Coms,$BY46,0)),0,HLOOKUP(I$41,Coms,$BY46,0))</f>
        <v>0.0478</v>
      </c>
      <c r="J46" s="98" t="n">
        <f aca="false">IF(ISERROR(HLOOKUP(J$41,Coms,$BY46,0)),0,HLOOKUP(J$41,Coms,$BY46,0))</f>
        <v>0.07781</v>
      </c>
      <c r="K46" s="98" t="n">
        <f aca="false">IF(ISERROR(HLOOKUP(K$41,Coms,$BY46,0)),0,HLOOKUP(K$41,Coms,$BY46,0))</f>
        <v>0.05235</v>
      </c>
      <c r="L46" s="98" t="n">
        <f aca="false">IF(ISERROR(HLOOKUP(L$41,Coms,$BY46,0)),0,HLOOKUP(L$41,Coms,$BY46,0))</f>
        <v>0.05235</v>
      </c>
      <c r="M46" s="98" t="n">
        <f aca="false">IF(ISERROR(HLOOKUP(M$41,Coms,$BY46,0)),0,HLOOKUP(M$41,Coms,$BY46,0))</f>
        <v>0.05019</v>
      </c>
      <c r="N46" s="99" t="n">
        <f aca="false">IF(ISERROR(HLOOKUP(N$41,Coms,$BY46,0)),0,HLOOKUP(N$41,Coms,$BY46,0))</f>
        <v>0.05149</v>
      </c>
      <c r="O46" s="100" t="n">
        <f aca="false">IF(ISERROR(HLOOKUP(O$41,Coms,$BY46,0)),0,HLOOKUP(O$41,Coms,$BY46,0))</f>
        <v>0.06199</v>
      </c>
      <c r="P46" s="101" t="n">
        <f aca="false">IF(ISERROR(HLOOKUP(P$41,Coms,$BY46,0)),0,HLOOKUP(P$41,Coms,$BY46,0))</f>
        <v>0.04789</v>
      </c>
      <c r="Q46" s="101" t="n">
        <f aca="false">IF(ISERROR(HLOOKUP(Q$41,Coms,$BY46,0)),0,HLOOKUP(Q$41,Coms,$BY46,0))</f>
        <v>0.08564</v>
      </c>
      <c r="R46" s="101" t="n">
        <f aca="false">IF(ISERROR(HLOOKUP(R$41,Coms,$BY46,0)),0,HLOOKUP(R$41,Coms,$BY46,0))</f>
        <v>0.03898</v>
      </c>
      <c r="S46" s="101" t="n">
        <f aca="false">IF(ISERROR(HLOOKUP(S$41,Coms,$BY46,0)),0,HLOOKUP(S$41,Coms,$BY46,0))</f>
        <v>0.0369376323018847</v>
      </c>
      <c r="T46" s="101" t="n">
        <f aca="false">IF(ISERROR(HLOOKUP(T$41,Coms,$BY46,0)),0,HLOOKUP(T$41,Coms,$BY46,0))</f>
        <v>0.0416</v>
      </c>
      <c r="U46" s="101" t="n">
        <f aca="false">IF(ISERROR(HLOOKUP(U$41,Coms,$BY46,0)),0,HLOOKUP(U$41,Coms,$BY46,0))</f>
        <v>0.04042</v>
      </c>
      <c r="V46" s="101" t="n">
        <f aca="false">IF(ISERROR(HLOOKUP(V$41,Coms,$BY46,0)),0,HLOOKUP(V$41,Coms,$BY46,0))</f>
        <v>0.04435</v>
      </c>
      <c r="W46" s="101" t="n">
        <f aca="false">IF(ISERROR(HLOOKUP(W$41,Coms,$BY46,0)),0,HLOOKUP(W$41,Coms,$BY46,0))</f>
        <v>0.04336</v>
      </c>
      <c r="X46" s="101" t="n">
        <f aca="false">IF(ISERROR(HLOOKUP(X$41,Coms,$BY46,0)),0,HLOOKUP(X$41,Coms,$BY46,0))</f>
        <v>0.04435</v>
      </c>
      <c r="Y46" s="101" t="n">
        <f aca="false">IF(ISERROR(HLOOKUP(Y$41,Coms,$BY46,0)),0,HLOOKUP(Y$41,Coms,$BY46,0))</f>
        <v>0.04229</v>
      </c>
      <c r="Z46" s="101" t="n">
        <f aca="false">IF(ISERROR(HLOOKUP(Z$41,Coms,$BY46,0)),0,HLOOKUP(Z$41,Coms,$BY46,0))</f>
        <v>0.04037</v>
      </c>
      <c r="AA46" s="102" t="n">
        <f aca="false">IF(ISERROR(HLOOKUP(AA$41,Coms,$BY46,0)),0,HLOOKUP(AA$41,Coms,$BY46,0))</f>
        <v>0.05353</v>
      </c>
      <c r="AB46" s="97" t="n">
        <f aca="false">IF(ISERROR(HLOOKUP(AB$41,Coms,$BY46,0)),0,HLOOKUP(AB$41,Coms,$BY46,0))</f>
        <v>0.0441724216613131</v>
      </c>
      <c r="AC46" s="98" t="n">
        <f aca="false">IF(ISERROR(HLOOKUP(AC$41,Coms,$BY46,0)),0,HLOOKUP(AC$41,Coms,$BY46,0))</f>
        <v>0.0447012310867109</v>
      </c>
      <c r="AD46" s="98" t="n">
        <f aca="false">IF(ISERROR(HLOOKUP(AD$41,Coms,$BY46,0)),0,HLOOKUP(AD$41,Coms,$BY46,0))</f>
        <v>0.0425902740849763</v>
      </c>
      <c r="AE46" s="98" t="n">
        <f aca="false">IF(ISERROR(HLOOKUP(AE$41,Coms,$BY46,0)),0,HLOOKUP(AE$41,Coms,$BY46,0))</f>
        <v>0.0431</v>
      </c>
      <c r="AF46" s="98" t="n">
        <f aca="false">IF(ISERROR(HLOOKUP(AF$41,Coms,$BY46,0)),0,HLOOKUP(AF$41,Coms,$BY46,0))</f>
        <v>0.0431</v>
      </c>
      <c r="AG46" s="98" t="n">
        <f aca="false">IF(ISERROR(HLOOKUP(AG$41,Coms,$BY46,0)),0,HLOOKUP(AG$41,Coms,$BY46,0))</f>
        <v>0.0499296155837516</v>
      </c>
      <c r="AH46" s="98" t="n">
        <f aca="false">IF(ISERROR(HLOOKUP(AH$41,Coms,$BY46,0)),0,HLOOKUP(AH$41,Coms,$BY46,0))</f>
        <v>0.04244</v>
      </c>
      <c r="AI46" s="98" t="n">
        <f aca="false">IF(ISERROR(HLOOKUP(AI$41,Coms,$BY46,0)),0,HLOOKUP(AI$41,Coms,$BY46,0))</f>
        <v>0</v>
      </c>
      <c r="AJ46" s="98" t="n">
        <f aca="false">IF(ISERROR(HLOOKUP(AJ$41,Coms,$BY46,0)),0,HLOOKUP(AJ$41,Coms,$BY46,0))</f>
        <v>0</v>
      </c>
      <c r="AK46" s="98" t="n">
        <f aca="false">IF(ISERROR(HLOOKUP(AK$41,Coms,$BY46,0)),0,HLOOKUP(AK$41,Coms,$BY46,0))</f>
        <v>0</v>
      </c>
      <c r="AL46" s="98" t="n">
        <f aca="false">IF(ISERROR(HLOOKUP(AL$41,Coms,$BY46,0)),0,HLOOKUP(AL$41,Coms,$BY46,0))</f>
        <v>0</v>
      </c>
      <c r="AM46" s="98" t="n">
        <f aca="false">IF(ISERROR(HLOOKUP(AM$41,Coms,$BY46,0)),0,HLOOKUP(AM$41,Coms,$BY46,0))</f>
        <v>0</v>
      </c>
      <c r="AN46" s="99" t="n">
        <f aca="false">IF(ISERROR(HLOOKUP(AN$41,Coms,$BY46,0)),0,HLOOKUP(AN$41,Coms,$BY46,0))</f>
        <v>0</v>
      </c>
      <c r="AO46" s="100" t="n">
        <f aca="false">IF(ISERROR(HLOOKUP(AO$41,Coms,$BY46,0)),0,HLOOKUP(AO$41,Coms,$BY46,0))</f>
        <v>0.08599</v>
      </c>
      <c r="AP46" s="101" t="n">
        <f aca="false">IF(ISERROR(HLOOKUP(AP$41,Coms,$BY46,0)),0,HLOOKUP(AP$41,Coms,$BY46,0))</f>
        <v>0.08294</v>
      </c>
      <c r="AQ46" s="101" t="n">
        <f aca="false">IF(ISERROR(HLOOKUP(AQ$41,Coms,$BY46,0)),0,HLOOKUP(AQ$41,Coms,$BY46,0))</f>
        <v>0.0377</v>
      </c>
      <c r="AR46" s="101" t="n">
        <f aca="false">IF(ISERROR(HLOOKUP(AR$41,Coms,$BY46,0)),0,HLOOKUP(AR$41,Coms,$BY46,0))</f>
        <v>0.03665</v>
      </c>
      <c r="AS46" s="101" t="n">
        <f aca="false">IF(ISERROR(HLOOKUP(AS$41,Coms,$BY46,0)),0,HLOOKUP(AS$41,Coms,$BY46,0))</f>
        <v>0.09021</v>
      </c>
      <c r="AT46" s="101" t="n">
        <f aca="false">IF(ISERROR(HLOOKUP(AT$41,Coms,$BY46,0)),0,HLOOKUP(AT$41,Coms,$BY46,0))</f>
        <v>0.08904</v>
      </c>
      <c r="AU46" s="101" t="n">
        <f aca="false">IF(ISERROR(HLOOKUP(AU$41,Coms,$BY46,0)),0,HLOOKUP(AU$41,Coms,$BY46,0))</f>
        <v>0.0930300000000001</v>
      </c>
      <c r="AV46" s="101" t="n">
        <f aca="false">IF(ISERROR(HLOOKUP(AV$41,Coms,$BY46,0)),0,HLOOKUP(AV$41,Coms,$BY46,0))</f>
        <v>0.08957</v>
      </c>
      <c r="AW46" s="101" t="n">
        <f aca="false">IF(ISERROR(HLOOKUP(AW$41,Coms,$BY46,0)),0,HLOOKUP(AW$41,Coms,$BY46,0))</f>
        <v>0.08748</v>
      </c>
      <c r="AX46" s="101" t="n">
        <f aca="false">IF(ISERROR(HLOOKUP(AX$41,Coms,$BY46,0)),0,HLOOKUP(AX$41,Coms,$BY46,0))</f>
        <v>0.0601</v>
      </c>
      <c r="AY46" s="101" t="n">
        <f aca="false">IF(ISERROR(HLOOKUP(AY$41,Coms,$BY46,0)),0,HLOOKUP(AY$41,Coms,$BY46,0))</f>
        <v>0.06905</v>
      </c>
      <c r="AZ46" s="101" t="n">
        <f aca="false">IF(ISERROR(HLOOKUP(AZ$41,Coms,$BY46,0)),0,HLOOKUP(AZ$41,Coms,$BY46,0))</f>
        <v>0</v>
      </c>
      <c r="BA46" s="102" t="n">
        <f aca="false">IF(ISERROR(HLOOKUP(BA$41,Coms,$BY46,0)),0,HLOOKUP(BA$41,Coms,$BY46,0))</f>
        <v>0</v>
      </c>
      <c r="BB46" s="97" t="n">
        <f aca="false">IF(ISERROR(HLOOKUP(BB$41,Coms,$BY46,0)),0,HLOOKUP(BB$41,Coms,$BY46,0))</f>
        <v>0.03801</v>
      </c>
      <c r="BC46" s="98" t="n">
        <f aca="false">IF(ISERROR(HLOOKUP(BC$41,Coms,$BY46,0)),0,HLOOKUP(BC$41,Coms,$BY46,0))</f>
        <v>0.04619</v>
      </c>
      <c r="BD46" s="98" t="n">
        <f aca="false">IF(ISERROR(HLOOKUP(BD$41,Coms,$BY46,0)),0,HLOOKUP(BD$41,Coms,$BY46,0))</f>
        <v>0.0505057412411957</v>
      </c>
      <c r="BE46" s="98" t="n">
        <f aca="false">IF(ISERROR(HLOOKUP(BE$41,Coms,$BY46,0)),0,HLOOKUP(BE$41,Coms,$BY46,0))</f>
        <v>0.0505028638155541</v>
      </c>
      <c r="BF46" s="98" t="n">
        <f aca="false">IF(ISERROR(HLOOKUP(BF$41,Coms,$BY46,0)),0,HLOOKUP(BF$41,Coms,$BY46,0))</f>
        <v>0.0324</v>
      </c>
      <c r="BG46" s="98" t="n">
        <f aca="false">IF(ISERROR(HLOOKUP(BG$41,Coms,$BY46,0)),0,HLOOKUP(BG$41,Coms,$BY46,0))</f>
        <v>0.0324</v>
      </c>
      <c r="BH46" s="98" t="n">
        <f aca="false">IF(ISERROR(HLOOKUP(BH$41,Coms,$BY46,0)),0,HLOOKUP(BH$41,Coms,$BY46,0))</f>
        <v>0.04711</v>
      </c>
      <c r="BI46" s="98" t="n">
        <f aca="false">IF(ISERROR(HLOOKUP(BI$41,Coms,$BY46,0)),0,HLOOKUP(BI$41,Coms,$BY46,0))</f>
        <v>0.08253</v>
      </c>
      <c r="BJ46" s="98" t="n">
        <f aca="false">IF(ISERROR(HLOOKUP(BJ$41,Coms,$BY46,0)),0,HLOOKUP(BJ$41,Coms,$BY46,0))</f>
        <v>0</v>
      </c>
      <c r="BK46" s="98" t="n">
        <f aca="false">IF(ISERROR(HLOOKUP(BK$41,Coms,$BY46,0)),0,HLOOKUP(BK$41,Coms,$BY46,0))</f>
        <v>0</v>
      </c>
      <c r="BL46" s="98" t="n">
        <f aca="false">IF(ISERROR(HLOOKUP(BL$41,Coms,$BY46,0)),0,HLOOKUP(BL$41,Coms,$BY46,0))</f>
        <v>0</v>
      </c>
      <c r="BM46" s="98" t="n">
        <f aca="false">IF(ISERROR(HLOOKUP(BM$41,Coms,$BY46,0)),0,HLOOKUP(BM$41,Coms,$BY46,0))</f>
        <v>0</v>
      </c>
      <c r="BN46" s="99" t="n">
        <f aca="false">IF(ISERROR(HLOOKUP(BN$41,Coms,$BY46,0)),0,HLOOKUP(BN$41,Coms,$BY46,0))</f>
        <v>0</v>
      </c>
      <c r="BY46" s="4" t="n">
        <v>6</v>
      </c>
    </row>
    <row r="47" customFormat="false" ht="15.75" hidden="false" customHeight="true" outlineLevel="0" collapsed="false">
      <c r="A47" s="103" t="s">
        <v>29</v>
      </c>
      <c r="B47" s="97" t="n">
        <f aca="false">IF(ISERROR(HLOOKUP(B$41,Coms,$BY47,0)),0,HLOOKUP(B$41,Coms,$BY47,0))</f>
        <v>0.00643</v>
      </c>
      <c r="C47" s="98" t="n">
        <f aca="false">IF(ISERROR(HLOOKUP(C$41,Coms,$BY47,0)),0,HLOOKUP(C$41,Coms,$BY47,0))</f>
        <v>0.00559</v>
      </c>
      <c r="D47" s="98" t="n">
        <f aca="false">IF(ISERROR(HLOOKUP(D$41,Coms,$BY47,0)),0,HLOOKUP(D$41,Coms,$BY47,0))</f>
        <v>0.00733</v>
      </c>
      <c r="E47" s="98" t="n">
        <f aca="false">IF(ISERROR(HLOOKUP(E$41,Coms,$BY47,0)),0,HLOOKUP(E$41,Coms,$BY47,0))</f>
        <v>0.00675</v>
      </c>
      <c r="F47" s="98" t="n">
        <f aca="false">IF(ISERROR(HLOOKUP(F$41,Coms,$BY47,0)),0,HLOOKUP(F$41,Coms,$BY47,0))</f>
        <v>0.00685</v>
      </c>
      <c r="G47" s="98" t="n">
        <f aca="false">IF(ISERROR(HLOOKUP(G$41,Coms,$BY47,0)),0,HLOOKUP(G$41,Coms,$BY47,0))</f>
        <v>0.00759</v>
      </c>
      <c r="H47" s="98" t="n">
        <f aca="false">IF(ISERROR(HLOOKUP(H$41,Coms,$BY47,0)),0,HLOOKUP(H$41,Coms,$BY47,0))</f>
        <v>0.00774000000000001</v>
      </c>
      <c r="I47" s="98" t="n">
        <f aca="false">IF(ISERROR(HLOOKUP(I$41,Coms,$BY47,0)),0,HLOOKUP(I$41,Coms,$BY47,0))</f>
        <v>0.00671</v>
      </c>
      <c r="J47" s="98" t="n">
        <f aca="false">IF(ISERROR(HLOOKUP(J$41,Coms,$BY47,0)),0,HLOOKUP(J$41,Coms,$BY47,0))</f>
        <v>0.00784</v>
      </c>
      <c r="K47" s="98" t="n">
        <f aca="false">IF(ISERROR(HLOOKUP(K$41,Coms,$BY47,0)),0,HLOOKUP(K$41,Coms,$BY47,0))</f>
        <v>0.00841</v>
      </c>
      <c r="L47" s="98" t="n">
        <f aca="false">IF(ISERROR(HLOOKUP(L$41,Coms,$BY47,0)),0,HLOOKUP(L$41,Coms,$BY47,0))</f>
        <v>0.00841</v>
      </c>
      <c r="M47" s="98" t="n">
        <f aca="false">IF(ISERROR(HLOOKUP(M$41,Coms,$BY47,0)),0,HLOOKUP(M$41,Coms,$BY47,0))</f>
        <v>0.00807</v>
      </c>
      <c r="N47" s="99" t="n">
        <f aca="false">IF(ISERROR(HLOOKUP(N$41,Coms,$BY47,0)),0,HLOOKUP(N$41,Coms,$BY47,0))</f>
        <v>0.00803</v>
      </c>
      <c r="O47" s="100" t="n">
        <f aca="false">IF(ISERROR(HLOOKUP(O$41,Coms,$BY47,0)),0,HLOOKUP(O$41,Coms,$BY47,0))</f>
        <v>0.00854</v>
      </c>
      <c r="P47" s="101" t="n">
        <f aca="false">IF(ISERROR(HLOOKUP(P$41,Coms,$BY47,0)),0,HLOOKUP(P$41,Coms,$BY47,0))</f>
        <v>0.00759</v>
      </c>
      <c r="Q47" s="101" t="n">
        <f aca="false">IF(ISERROR(HLOOKUP(Q$41,Coms,$BY47,0)),0,HLOOKUP(Q$41,Coms,$BY47,0))</f>
        <v>0.01292</v>
      </c>
      <c r="R47" s="101" t="n">
        <f aca="false">IF(ISERROR(HLOOKUP(R$41,Coms,$BY47,0)),0,HLOOKUP(R$41,Coms,$BY47,0))</f>
        <v>0.0062</v>
      </c>
      <c r="S47" s="101" t="n">
        <f aca="false">IF(ISERROR(HLOOKUP(S$41,Coms,$BY47,0)),0,HLOOKUP(S$41,Coms,$BY47,0))</f>
        <v>0.00553346829923889</v>
      </c>
      <c r="T47" s="101" t="n">
        <f aca="false">IF(ISERROR(HLOOKUP(T$41,Coms,$BY47,0)),0,HLOOKUP(T$41,Coms,$BY47,0))</f>
        <v>0.00697</v>
      </c>
      <c r="U47" s="101" t="n">
        <f aca="false">IF(ISERROR(HLOOKUP(U$41,Coms,$BY47,0)),0,HLOOKUP(U$41,Coms,$BY47,0))</f>
        <v>0.00592</v>
      </c>
      <c r="V47" s="101" t="n">
        <f aca="false">IF(ISERROR(HLOOKUP(V$41,Coms,$BY47,0)),0,HLOOKUP(V$41,Coms,$BY47,0))</f>
        <v>0.00702</v>
      </c>
      <c r="W47" s="101" t="n">
        <f aca="false">IF(ISERROR(HLOOKUP(W$41,Coms,$BY47,0)),0,HLOOKUP(W$41,Coms,$BY47,0))</f>
        <v>0.00668</v>
      </c>
      <c r="X47" s="101" t="n">
        <f aca="false">IF(ISERROR(HLOOKUP(X$41,Coms,$BY47,0)),0,HLOOKUP(X$41,Coms,$BY47,0))</f>
        <v>0.00776</v>
      </c>
      <c r="Y47" s="101" t="n">
        <f aca="false">IF(ISERROR(HLOOKUP(Y$41,Coms,$BY47,0)),0,HLOOKUP(Y$41,Coms,$BY47,0))</f>
        <v>0.00698</v>
      </c>
      <c r="Z47" s="101" t="n">
        <f aca="false">IF(ISERROR(HLOOKUP(Z$41,Coms,$BY47,0)),0,HLOOKUP(Z$41,Coms,$BY47,0))</f>
        <v>0.00705</v>
      </c>
      <c r="AA47" s="102" t="n">
        <f aca="false">IF(ISERROR(HLOOKUP(AA$41,Coms,$BY47,0)),0,HLOOKUP(AA$41,Coms,$BY47,0))</f>
        <v>0.00802</v>
      </c>
      <c r="AB47" s="97" t="n">
        <f aca="false">IF(ISERROR(HLOOKUP(AB$41,Coms,$BY47,0)),0,HLOOKUP(AB$41,Coms,$BY47,0))</f>
        <v>0.00696877749490332</v>
      </c>
      <c r="AC47" s="98" t="n">
        <f aca="false">IF(ISERROR(HLOOKUP(AC$41,Coms,$BY47,0)),0,HLOOKUP(AC$41,Coms,$BY47,0))</f>
        <v>0.00715498522559988</v>
      </c>
      <c r="AD47" s="98" t="n">
        <f aca="false">IF(ISERROR(HLOOKUP(AD$41,Coms,$BY47,0)),0,HLOOKUP(AD$41,Coms,$BY47,0))</f>
        <v>0.00694532701970005</v>
      </c>
      <c r="AE47" s="98" t="n">
        <f aca="false">IF(ISERROR(HLOOKUP(AE$41,Coms,$BY47,0)),0,HLOOKUP(AE$41,Coms,$BY47,0))</f>
        <v>0.00626</v>
      </c>
      <c r="AF47" s="98" t="n">
        <f aca="false">IF(ISERROR(HLOOKUP(AF$41,Coms,$BY47,0)),0,HLOOKUP(AF$41,Coms,$BY47,0))</f>
        <v>0.00626</v>
      </c>
      <c r="AG47" s="98" t="n">
        <f aca="false">IF(ISERROR(HLOOKUP(AG$41,Coms,$BY47,0)),0,HLOOKUP(AG$41,Coms,$BY47,0))</f>
        <v>0.00772059438559349</v>
      </c>
      <c r="AH47" s="98" t="n">
        <f aca="false">IF(ISERROR(HLOOKUP(AH$41,Coms,$BY47,0)),0,HLOOKUP(AH$41,Coms,$BY47,0))</f>
        <v>0.00497</v>
      </c>
      <c r="AI47" s="98" t="n">
        <f aca="false">IF(ISERROR(HLOOKUP(AI$41,Coms,$BY47,0)),0,HLOOKUP(AI$41,Coms,$BY47,0))</f>
        <v>0</v>
      </c>
      <c r="AJ47" s="98" t="n">
        <f aca="false">IF(ISERROR(HLOOKUP(AJ$41,Coms,$BY47,0)),0,HLOOKUP(AJ$41,Coms,$BY47,0))</f>
        <v>0</v>
      </c>
      <c r="AK47" s="98" t="n">
        <f aca="false">IF(ISERROR(HLOOKUP(AK$41,Coms,$BY47,0)),0,HLOOKUP(AK$41,Coms,$BY47,0))</f>
        <v>0</v>
      </c>
      <c r="AL47" s="98" t="n">
        <f aca="false">IF(ISERROR(HLOOKUP(AL$41,Coms,$BY47,0)),0,HLOOKUP(AL$41,Coms,$BY47,0))</f>
        <v>0</v>
      </c>
      <c r="AM47" s="98" t="n">
        <f aca="false">IF(ISERROR(HLOOKUP(AM$41,Coms,$BY47,0)),0,HLOOKUP(AM$41,Coms,$BY47,0))</f>
        <v>0</v>
      </c>
      <c r="AN47" s="99" t="n">
        <f aca="false">IF(ISERROR(HLOOKUP(AN$41,Coms,$BY47,0)),0,HLOOKUP(AN$41,Coms,$BY47,0))</f>
        <v>0</v>
      </c>
      <c r="AO47" s="100" t="n">
        <f aca="false">IF(ISERROR(HLOOKUP(AO$41,Coms,$BY47,0)),0,HLOOKUP(AO$41,Coms,$BY47,0))</f>
        <v>0.00996</v>
      </c>
      <c r="AP47" s="101" t="n">
        <f aca="false">IF(ISERROR(HLOOKUP(AP$41,Coms,$BY47,0)),0,HLOOKUP(AP$41,Coms,$BY47,0))</f>
        <v>0.00989</v>
      </c>
      <c r="AQ47" s="101" t="n">
        <f aca="false">IF(ISERROR(HLOOKUP(AQ$41,Coms,$BY47,0)),0,HLOOKUP(AQ$41,Coms,$BY47,0))</f>
        <v>0.0051</v>
      </c>
      <c r="AR47" s="101" t="n">
        <f aca="false">IF(ISERROR(HLOOKUP(AR$41,Coms,$BY47,0)),0,HLOOKUP(AR$41,Coms,$BY47,0))</f>
        <v>0.005</v>
      </c>
      <c r="AS47" s="101" t="n">
        <f aca="false">IF(ISERROR(HLOOKUP(AS$41,Coms,$BY47,0)),0,HLOOKUP(AS$41,Coms,$BY47,0))</f>
        <v>0.01124</v>
      </c>
      <c r="AT47" s="101" t="n">
        <f aca="false">IF(ISERROR(HLOOKUP(AT$41,Coms,$BY47,0)),0,HLOOKUP(AT$41,Coms,$BY47,0))</f>
        <v>0.00965</v>
      </c>
      <c r="AU47" s="101" t="n">
        <f aca="false">IF(ISERROR(HLOOKUP(AU$41,Coms,$BY47,0)),0,HLOOKUP(AU$41,Coms,$BY47,0))</f>
        <v>0.0109</v>
      </c>
      <c r="AV47" s="101" t="n">
        <f aca="false">IF(ISERROR(HLOOKUP(AV$41,Coms,$BY47,0)),0,HLOOKUP(AV$41,Coms,$BY47,0))</f>
        <v>0.00956</v>
      </c>
      <c r="AW47" s="101" t="n">
        <f aca="false">IF(ISERROR(HLOOKUP(AW$41,Coms,$BY47,0)),0,HLOOKUP(AW$41,Coms,$BY47,0))</f>
        <v>0.01033</v>
      </c>
      <c r="AX47" s="101" t="n">
        <f aca="false">IF(ISERROR(HLOOKUP(AX$41,Coms,$BY47,0)),0,HLOOKUP(AX$41,Coms,$BY47,0))</f>
        <v>0.00761</v>
      </c>
      <c r="AY47" s="101" t="n">
        <f aca="false">IF(ISERROR(HLOOKUP(AY$41,Coms,$BY47,0)),0,HLOOKUP(AY$41,Coms,$BY47,0))</f>
        <v>0.01013</v>
      </c>
      <c r="AZ47" s="101" t="n">
        <f aca="false">IF(ISERROR(HLOOKUP(AZ$41,Coms,$BY47,0)),0,HLOOKUP(AZ$41,Coms,$BY47,0))</f>
        <v>0</v>
      </c>
      <c r="BA47" s="102" t="n">
        <f aca="false">IF(ISERROR(HLOOKUP(BA$41,Coms,$BY47,0)),0,HLOOKUP(BA$41,Coms,$BY47,0))</f>
        <v>0</v>
      </c>
      <c r="BB47" s="97" t="n">
        <f aca="false">IF(ISERROR(HLOOKUP(BB$41,Coms,$BY47,0)),0,HLOOKUP(BB$41,Coms,$BY47,0))</f>
        <v>0.0053</v>
      </c>
      <c r="BC47" s="98" t="n">
        <f aca="false">IF(ISERROR(HLOOKUP(BC$41,Coms,$BY47,0)),0,HLOOKUP(BC$41,Coms,$BY47,0))</f>
        <v>0.00699</v>
      </c>
      <c r="BD47" s="98" t="n">
        <f aca="false">IF(ISERROR(HLOOKUP(BD$41,Coms,$BY47,0)),0,HLOOKUP(BD$41,Coms,$BY47,0))</f>
        <v>0.00949274638422708</v>
      </c>
      <c r="BE47" s="98" t="n">
        <f aca="false">IF(ISERROR(HLOOKUP(BE$41,Coms,$BY47,0)),0,HLOOKUP(BE$41,Coms,$BY47,0))</f>
        <v>0.00949303802968028</v>
      </c>
      <c r="BF47" s="98" t="n">
        <f aca="false">IF(ISERROR(HLOOKUP(BF$41,Coms,$BY47,0)),0,HLOOKUP(BF$41,Coms,$BY47,0))</f>
        <v>0.00432</v>
      </c>
      <c r="BG47" s="98" t="n">
        <f aca="false">IF(ISERROR(HLOOKUP(BG$41,Coms,$BY47,0)),0,HLOOKUP(BG$41,Coms,$BY47,0))</f>
        <v>0.00432</v>
      </c>
      <c r="BH47" s="98" t="n">
        <f aca="false">IF(ISERROR(HLOOKUP(BH$41,Coms,$BY47,0)),0,HLOOKUP(BH$41,Coms,$BY47,0))</f>
        <v>0.00606</v>
      </c>
      <c r="BI47" s="98" t="n">
        <f aca="false">IF(ISERROR(HLOOKUP(BI$41,Coms,$BY47,0)),0,HLOOKUP(BI$41,Coms,$BY47,0))</f>
        <v>0.00986</v>
      </c>
      <c r="BJ47" s="98" t="n">
        <f aca="false">IF(ISERROR(HLOOKUP(BJ$41,Coms,$BY47,0)),0,HLOOKUP(BJ$41,Coms,$BY47,0))</f>
        <v>0</v>
      </c>
      <c r="BK47" s="98" t="n">
        <f aca="false">IF(ISERROR(HLOOKUP(BK$41,Coms,$BY47,0)),0,HLOOKUP(BK$41,Coms,$BY47,0))</f>
        <v>0</v>
      </c>
      <c r="BL47" s="98" t="n">
        <f aca="false">IF(ISERROR(HLOOKUP(BL$41,Coms,$BY47,0)),0,HLOOKUP(BL$41,Coms,$BY47,0))</f>
        <v>0</v>
      </c>
      <c r="BM47" s="98" t="n">
        <f aca="false">IF(ISERROR(HLOOKUP(BM$41,Coms,$BY47,0)),0,HLOOKUP(BM$41,Coms,$BY47,0))</f>
        <v>0</v>
      </c>
      <c r="BN47" s="99" t="n">
        <f aca="false">IF(ISERROR(HLOOKUP(BN$41,Coms,$BY47,0)),0,HLOOKUP(BN$41,Coms,$BY47,0))</f>
        <v>0</v>
      </c>
      <c r="BY47" s="4" t="n">
        <v>7</v>
      </c>
    </row>
    <row r="48" customFormat="false" ht="15.75" hidden="false" customHeight="true" outlineLevel="0" collapsed="false">
      <c r="A48" s="103" t="s">
        <v>30</v>
      </c>
      <c r="B48" s="97" t="n">
        <f aca="false">IF(ISERROR(HLOOKUP(B$41,Coms,$BY48,0)),0,HLOOKUP(B$41,Coms,$BY48,0))</f>
        <v>0.01174</v>
      </c>
      <c r="C48" s="98" t="n">
        <f aca="false">IF(ISERROR(HLOOKUP(C$41,Coms,$BY48,0)),0,HLOOKUP(C$41,Coms,$BY48,0))</f>
        <v>0.01238</v>
      </c>
      <c r="D48" s="98" t="n">
        <f aca="false">IF(ISERROR(HLOOKUP(D$41,Coms,$BY48,0)),0,HLOOKUP(D$41,Coms,$BY48,0))</f>
        <v>0.015</v>
      </c>
      <c r="E48" s="98" t="n">
        <f aca="false">IF(ISERROR(HLOOKUP(E$41,Coms,$BY48,0)),0,HLOOKUP(E$41,Coms,$BY48,0))</f>
        <v>0.01477</v>
      </c>
      <c r="F48" s="98" t="n">
        <f aca="false">IF(ISERROR(HLOOKUP(F$41,Coms,$BY48,0)),0,HLOOKUP(F$41,Coms,$BY48,0))</f>
        <v>0.01487</v>
      </c>
      <c r="G48" s="98" t="n">
        <f aca="false">IF(ISERROR(HLOOKUP(G$41,Coms,$BY48,0)),0,HLOOKUP(G$41,Coms,$BY48,0))</f>
        <v>0.01676</v>
      </c>
      <c r="H48" s="98" t="n">
        <f aca="false">IF(ISERROR(HLOOKUP(H$41,Coms,$BY48,0)),0,HLOOKUP(H$41,Coms,$BY48,0))</f>
        <v>0.01717</v>
      </c>
      <c r="I48" s="98" t="n">
        <f aca="false">IF(ISERROR(HLOOKUP(I$41,Coms,$BY48,0)),0,HLOOKUP(I$41,Coms,$BY48,0))</f>
        <v>0.01498</v>
      </c>
      <c r="J48" s="98" t="n">
        <f aca="false">IF(ISERROR(HLOOKUP(J$41,Coms,$BY48,0)),0,HLOOKUP(J$41,Coms,$BY48,0))</f>
        <v>0.02504</v>
      </c>
      <c r="K48" s="98" t="n">
        <f aca="false">IF(ISERROR(HLOOKUP(K$41,Coms,$BY48,0)),0,HLOOKUP(K$41,Coms,$BY48,0))</f>
        <v>0.01873</v>
      </c>
      <c r="L48" s="98" t="n">
        <f aca="false">IF(ISERROR(HLOOKUP(L$41,Coms,$BY48,0)),0,HLOOKUP(L$41,Coms,$BY48,0))</f>
        <v>0.01873</v>
      </c>
      <c r="M48" s="98" t="n">
        <f aca="false">IF(ISERROR(HLOOKUP(M$41,Coms,$BY48,0)),0,HLOOKUP(M$41,Coms,$BY48,0))</f>
        <v>0.01755</v>
      </c>
      <c r="N48" s="99" t="n">
        <f aca="false">IF(ISERROR(HLOOKUP(N$41,Coms,$BY48,0)),0,HLOOKUP(N$41,Coms,$BY48,0))</f>
        <v>0.01744</v>
      </c>
      <c r="O48" s="100" t="n">
        <f aca="false">IF(ISERROR(HLOOKUP(O$41,Coms,$BY48,0)),0,HLOOKUP(O$41,Coms,$BY48,0))</f>
        <v>0.02076</v>
      </c>
      <c r="P48" s="101" t="n">
        <f aca="false">IF(ISERROR(HLOOKUP(P$41,Coms,$BY48,0)),0,HLOOKUP(P$41,Coms,$BY48,0))</f>
        <v>0.01644</v>
      </c>
      <c r="Q48" s="101" t="n">
        <f aca="false">IF(ISERROR(HLOOKUP(Q$41,Coms,$BY48,0)),0,HLOOKUP(Q$41,Coms,$BY48,0))</f>
        <v>0.0295</v>
      </c>
      <c r="R48" s="101" t="n">
        <f aca="false">IF(ISERROR(HLOOKUP(R$41,Coms,$BY48,0)),0,HLOOKUP(R$41,Coms,$BY48,0))</f>
        <v>0.01089</v>
      </c>
      <c r="S48" s="101" t="n">
        <f aca="false">IF(ISERROR(HLOOKUP(S$41,Coms,$BY48,0)),0,HLOOKUP(S$41,Coms,$BY48,0))</f>
        <v>0.00942988113030099</v>
      </c>
      <c r="T48" s="101" t="n">
        <f aca="false">IF(ISERROR(HLOOKUP(T$41,Coms,$BY48,0)),0,HLOOKUP(T$41,Coms,$BY48,0))</f>
        <v>0.01341</v>
      </c>
      <c r="U48" s="101" t="n">
        <f aca="false">IF(ISERROR(HLOOKUP(U$41,Coms,$BY48,0)),0,HLOOKUP(U$41,Coms,$BY48,0))</f>
        <v>0.01</v>
      </c>
      <c r="V48" s="101" t="n">
        <f aca="false">IF(ISERROR(HLOOKUP(V$41,Coms,$BY48,0)),0,HLOOKUP(V$41,Coms,$BY48,0))</f>
        <v>0.01436</v>
      </c>
      <c r="W48" s="101" t="n">
        <f aca="false">IF(ISERROR(HLOOKUP(W$41,Coms,$BY48,0)),0,HLOOKUP(W$41,Coms,$BY48,0))</f>
        <v>0.01343</v>
      </c>
      <c r="X48" s="101" t="n">
        <f aca="false">IF(ISERROR(HLOOKUP(X$41,Coms,$BY48,0)),0,HLOOKUP(X$41,Coms,$BY48,0))</f>
        <v>0.01517</v>
      </c>
      <c r="Y48" s="101" t="n">
        <f aca="false">IF(ISERROR(HLOOKUP(Y$41,Coms,$BY48,0)),0,HLOOKUP(Y$41,Coms,$BY48,0))</f>
        <v>0.01331</v>
      </c>
      <c r="Z48" s="101" t="n">
        <f aca="false">IF(ISERROR(HLOOKUP(Z$41,Coms,$BY48,0)),0,HLOOKUP(Z$41,Coms,$BY48,0))</f>
        <v>0.01318</v>
      </c>
      <c r="AA48" s="102" t="n">
        <f aca="false">IF(ISERROR(HLOOKUP(AA$41,Coms,$BY48,0)),0,HLOOKUP(AA$41,Coms,$BY48,0))</f>
        <v>0.01866</v>
      </c>
      <c r="AB48" s="97" t="n">
        <f aca="false">IF(ISERROR(HLOOKUP(AB$41,Coms,$BY48,0)),0,HLOOKUP(AB$41,Coms,$BY48,0))</f>
        <v>0.0147066420150075</v>
      </c>
      <c r="AC48" s="98" t="n">
        <f aca="false">IF(ISERROR(HLOOKUP(AC$41,Coms,$BY48,0)),0,HLOOKUP(AC$41,Coms,$BY48,0))</f>
        <v>0.015140556139133</v>
      </c>
      <c r="AD48" s="98" t="n">
        <f aca="false">IF(ISERROR(HLOOKUP(AD$41,Coms,$BY48,0)),0,HLOOKUP(AD$41,Coms,$BY48,0))</f>
        <v>0.0138931661851656</v>
      </c>
      <c r="AE48" s="98" t="n">
        <f aca="false">IF(ISERROR(HLOOKUP(AE$41,Coms,$BY48,0)),0,HLOOKUP(AE$41,Coms,$BY48,0))</f>
        <v>0.01321</v>
      </c>
      <c r="AF48" s="98" t="n">
        <f aca="false">IF(ISERROR(HLOOKUP(AF$41,Coms,$BY48,0)),0,HLOOKUP(AF$41,Coms,$BY48,0))</f>
        <v>0.01321</v>
      </c>
      <c r="AG48" s="98" t="n">
        <f aca="false">IF(ISERROR(HLOOKUP(AG$41,Coms,$BY48,0)),0,HLOOKUP(AG$41,Coms,$BY48,0))</f>
        <v>0.0170336532769439</v>
      </c>
      <c r="AH48" s="98" t="n">
        <f aca="false">IF(ISERROR(HLOOKUP(AH$41,Coms,$BY48,0)),0,HLOOKUP(AH$41,Coms,$BY48,0))</f>
        <v>0.01429</v>
      </c>
      <c r="AI48" s="98" t="n">
        <f aca="false">IF(ISERROR(HLOOKUP(AI$41,Coms,$BY48,0)),0,HLOOKUP(AI$41,Coms,$BY48,0))</f>
        <v>0</v>
      </c>
      <c r="AJ48" s="98" t="n">
        <f aca="false">IF(ISERROR(HLOOKUP(AJ$41,Coms,$BY48,0)),0,HLOOKUP(AJ$41,Coms,$BY48,0))</f>
        <v>0</v>
      </c>
      <c r="AK48" s="98" t="n">
        <f aca="false">IF(ISERROR(HLOOKUP(AK$41,Coms,$BY48,0)),0,HLOOKUP(AK$41,Coms,$BY48,0))</f>
        <v>0</v>
      </c>
      <c r="AL48" s="98" t="n">
        <f aca="false">IF(ISERROR(HLOOKUP(AL$41,Coms,$BY48,0)),0,HLOOKUP(AL$41,Coms,$BY48,0))</f>
        <v>0</v>
      </c>
      <c r="AM48" s="98" t="n">
        <f aca="false">IF(ISERROR(HLOOKUP(AM$41,Coms,$BY48,0)),0,HLOOKUP(AM$41,Coms,$BY48,0))</f>
        <v>0</v>
      </c>
      <c r="AN48" s="99" t="n">
        <f aca="false">IF(ISERROR(HLOOKUP(AN$41,Coms,$BY48,0)),0,HLOOKUP(AN$41,Coms,$BY48,0))</f>
        <v>0</v>
      </c>
      <c r="AO48" s="100" t="n">
        <f aca="false">IF(ISERROR(HLOOKUP(AO$41,Coms,$BY48,0)),0,HLOOKUP(AO$41,Coms,$BY48,0))</f>
        <v>0.03193</v>
      </c>
      <c r="AP48" s="101" t="n">
        <f aca="false">IF(ISERROR(HLOOKUP(AP$41,Coms,$BY48,0)),0,HLOOKUP(AP$41,Coms,$BY48,0))</f>
        <v>0.03134</v>
      </c>
      <c r="AQ48" s="101" t="n">
        <f aca="false">IF(ISERROR(HLOOKUP(AQ$41,Coms,$BY48,0)),0,HLOOKUP(AQ$41,Coms,$BY48,0))</f>
        <v>0.01289</v>
      </c>
      <c r="AR48" s="101" t="n">
        <f aca="false">IF(ISERROR(HLOOKUP(AR$41,Coms,$BY48,0)),0,HLOOKUP(AR$41,Coms,$BY48,0))</f>
        <v>0.01279</v>
      </c>
      <c r="AS48" s="101" t="n">
        <f aca="false">IF(ISERROR(HLOOKUP(AS$41,Coms,$BY48,0)),0,HLOOKUP(AS$41,Coms,$BY48,0))</f>
        <v>0.03668</v>
      </c>
      <c r="AT48" s="101" t="n">
        <f aca="false">IF(ISERROR(HLOOKUP(AT$41,Coms,$BY48,0)),0,HLOOKUP(AT$41,Coms,$BY48,0))</f>
        <v>0.03087</v>
      </c>
      <c r="AU48" s="101" t="n">
        <f aca="false">IF(ISERROR(HLOOKUP(AU$41,Coms,$BY48,0)),0,HLOOKUP(AU$41,Coms,$BY48,0))</f>
        <v>0.03269</v>
      </c>
      <c r="AV48" s="101" t="n">
        <f aca="false">IF(ISERROR(HLOOKUP(AV$41,Coms,$BY48,0)),0,HLOOKUP(AV$41,Coms,$BY48,0))</f>
        <v>0.02885</v>
      </c>
      <c r="AW48" s="101" t="n">
        <f aca="false">IF(ISERROR(HLOOKUP(AW$41,Coms,$BY48,0)),0,HLOOKUP(AW$41,Coms,$BY48,0))</f>
        <v>0.03276</v>
      </c>
      <c r="AX48" s="101" t="n">
        <f aca="false">IF(ISERROR(HLOOKUP(AX$41,Coms,$BY48,0)),0,HLOOKUP(AX$41,Coms,$BY48,0))</f>
        <v>0.0232</v>
      </c>
      <c r="AY48" s="101" t="n">
        <f aca="false">IF(ISERROR(HLOOKUP(AY$41,Coms,$BY48,0)),0,HLOOKUP(AY$41,Coms,$BY48,0))</f>
        <v>0.02475</v>
      </c>
      <c r="AZ48" s="101" t="n">
        <f aca="false">IF(ISERROR(HLOOKUP(AZ$41,Coms,$BY48,0)),0,HLOOKUP(AZ$41,Coms,$BY48,0))</f>
        <v>0</v>
      </c>
      <c r="BA48" s="102" t="n">
        <f aca="false">IF(ISERROR(HLOOKUP(BA$41,Coms,$BY48,0)),0,HLOOKUP(BA$41,Coms,$BY48,0))</f>
        <v>0</v>
      </c>
      <c r="BB48" s="97" t="n">
        <f aca="false">IF(ISERROR(HLOOKUP(BB$41,Coms,$BY48,0)),0,HLOOKUP(BB$41,Coms,$BY48,0))</f>
        <v>0.01449</v>
      </c>
      <c r="BC48" s="98" t="n">
        <f aca="false">IF(ISERROR(HLOOKUP(BC$41,Coms,$BY48,0)),0,HLOOKUP(BC$41,Coms,$BY48,0))</f>
        <v>0.01528</v>
      </c>
      <c r="BD48" s="98" t="n">
        <f aca="false">IF(ISERROR(HLOOKUP(BD$41,Coms,$BY48,0)),0,HLOOKUP(BD$41,Coms,$BY48,0))</f>
        <v>0.0179458360032844</v>
      </c>
      <c r="BE48" s="98" t="n">
        <f aca="false">IF(ISERROR(HLOOKUP(BE$41,Coms,$BY48,0)),0,HLOOKUP(BE$41,Coms,$BY48,0))</f>
        <v>0.0179456171111004</v>
      </c>
      <c r="BF48" s="98" t="n">
        <f aca="false">IF(ISERROR(HLOOKUP(BF$41,Coms,$BY48,0)),0,HLOOKUP(BF$41,Coms,$BY48,0))</f>
        <v>0.01094</v>
      </c>
      <c r="BG48" s="98" t="n">
        <f aca="false">IF(ISERROR(HLOOKUP(BG$41,Coms,$BY48,0)),0,HLOOKUP(BG$41,Coms,$BY48,0))</f>
        <v>0.01094</v>
      </c>
      <c r="BH48" s="98" t="n">
        <f aca="false">IF(ISERROR(HLOOKUP(BH$41,Coms,$BY48,0)),0,HLOOKUP(BH$41,Coms,$BY48,0))</f>
        <v>0.01747</v>
      </c>
      <c r="BI48" s="98" t="n">
        <f aca="false">IF(ISERROR(HLOOKUP(BI$41,Coms,$BY48,0)),0,HLOOKUP(BI$41,Coms,$BY48,0))</f>
        <v>0.02889</v>
      </c>
      <c r="BJ48" s="98" t="n">
        <f aca="false">IF(ISERROR(HLOOKUP(BJ$41,Coms,$BY48,0)),0,HLOOKUP(BJ$41,Coms,$BY48,0))</f>
        <v>0</v>
      </c>
      <c r="BK48" s="98" t="n">
        <f aca="false">IF(ISERROR(HLOOKUP(BK$41,Coms,$BY48,0)),0,HLOOKUP(BK$41,Coms,$BY48,0))</f>
        <v>0</v>
      </c>
      <c r="BL48" s="98" t="n">
        <f aca="false">IF(ISERROR(HLOOKUP(BL$41,Coms,$BY48,0)),0,HLOOKUP(BL$41,Coms,$BY48,0))</f>
        <v>0</v>
      </c>
      <c r="BM48" s="98" t="n">
        <f aca="false">IF(ISERROR(HLOOKUP(BM$41,Coms,$BY48,0)),0,HLOOKUP(BM$41,Coms,$BY48,0))</f>
        <v>0</v>
      </c>
      <c r="BN48" s="99" t="n">
        <f aca="false">IF(ISERROR(HLOOKUP(BN$41,Coms,$BY48,0)),0,HLOOKUP(BN$41,Coms,$BY48,0))</f>
        <v>0</v>
      </c>
      <c r="BY48" s="4" t="n">
        <v>8</v>
      </c>
    </row>
    <row r="49" customFormat="false" ht="15.75" hidden="false" customHeight="true" outlineLevel="0" collapsed="false">
      <c r="A49" s="103" t="s">
        <v>31</v>
      </c>
      <c r="B49" s="97" t="n">
        <f aca="false">IF(ISERROR(HLOOKUP(B$41,Coms,$BY49,0)),0,HLOOKUP(B$41,Coms,$BY49,0))</f>
        <v>0.0034</v>
      </c>
      <c r="C49" s="98" t="n">
        <f aca="false">IF(ISERROR(HLOOKUP(C$41,Coms,$BY49,0)),0,HLOOKUP(C$41,Coms,$BY49,0))</f>
        <v>0.00338</v>
      </c>
      <c r="D49" s="98" t="n">
        <f aca="false">IF(ISERROR(HLOOKUP(D$41,Coms,$BY49,0)),0,HLOOKUP(D$41,Coms,$BY49,0))</f>
        <v>0.00364</v>
      </c>
      <c r="E49" s="98" t="n">
        <f aca="false">IF(ISERROR(HLOOKUP(E$41,Coms,$BY49,0)),0,HLOOKUP(E$41,Coms,$BY49,0))</f>
        <v>0.00355</v>
      </c>
      <c r="F49" s="98" t="n">
        <f aca="false">IF(ISERROR(HLOOKUP(F$41,Coms,$BY49,0)),0,HLOOKUP(F$41,Coms,$BY49,0))</f>
        <v>0.00381</v>
      </c>
      <c r="G49" s="98" t="n">
        <f aca="false">IF(ISERROR(HLOOKUP(G$41,Coms,$BY49,0)),0,HLOOKUP(G$41,Coms,$BY49,0))</f>
        <v>0.00371</v>
      </c>
      <c r="H49" s="98" t="n">
        <f aca="false">IF(ISERROR(HLOOKUP(H$41,Coms,$BY49,0)),0,HLOOKUP(H$41,Coms,$BY49,0))</f>
        <v>0.00462</v>
      </c>
      <c r="I49" s="98" t="n">
        <f aca="false">IF(ISERROR(HLOOKUP(I$41,Coms,$BY49,0)),0,HLOOKUP(I$41,Coms,$BY49,0))</f>
        <v>0.00369</v>
      </c>
      <c r="J49" s="98" t="n">
        <f aca="false">IF(ISERROR(HLOOKUP(J$41,Coms,$BY49,0)),0,HLOOKUP(J$41,Coms,$BY49,0))</f>
        <v>0.00516</v>
      </c>
      <c r="K49" s="98" t="n">
        <f aca="false">IF(ISERROR(HLOOKUP(K$41,Coms,$BY49,0)),0,HLOOKUP(K$41,Coms,$BY49,0))</f>
        <v>0.00515</v>
      </c>
      <c r="L49" s="98" t="n">
        <f aca="false">IF(ISERROR(HLOOKUP(L$41,Coms,$BY49,0)),0,HLOOKUP(L$41,Coms,$BY49,0))</f>
        <v>0.00515</v>
      </c>
      <c r="M49" s="98" t="n">
        <f aca="false">IF(ISERROR(HLOOKUP(M$41,Coms,$BY49,0)),0,HLOOKUP(M$41,Coms,$BY49,0))</f>
        <v>0.00475</v>
      </c>
      <c r="N49" s="99" t="n">
        <f aca="false">IF(ISERROR(HLOOKUP(N$41,Coms,$BY49,0)),0,HLOOKUP(N$41,Coms,$BY49,0))</f>
        <v>0.00532</v>
      </c>
      <c r="O49" s="100" t="n">
        <f aca="false">IF(ISERROR(HLOOKUP(O$41,Coms,$BY49,0)),0,HLOOKUP(O$41,Coms,$BY49,0))</f>
        <v>0.00475</v>
      </c>
      <c r="P49" s="101" t="n">
        <f aca="false">IF(ISERROR(HLOOKUP(P$41,Coms,$BY49,0)),0,HLOOKUP(P$41,Coms,$BY49,0))</f>
        <v>0.00446</v>
      </c>
      <c r="Q49" s="101" t="n">
        <f aca="false">IF(ISERROR(HLOOKUP(Q$41,Coms,$BY49,0)),0,HLOOKUP(Q$41,Coms,$BY49,0))</f>
        <v>0.00595</v>
      </c>
      <c r="R49" s="101" t="n">
        <f aca="false">IF(ISERROR(HLOOKUP(R$41,Coms,$BY49,0)),0,HLOOKUP(R$41,Coms,$BY49,0))</f>
        <v>0.00289</v>
      </c>
      <c r="S49" s="101" t="n">
        <f aca="false">IF(ISERROR(HLOOKUP(S$41,Coms,$BY49,0)),0,HLOOKUP(S$41,Coms,$BY49,0))</f>
        <v>0.00219411603521426</v>
      </c>
      <c r="T49" s="101" t="n">
        <f aca="false">IF(ISERROR(HLOOKUP(T$41,Coms,$BY49,0)),0,HLOOKUP(T$41,Coms,$BY49,0))</f>
        <v>0.00376</v>
      </c>
      <c r="U49" s="101" t="n">
        <f aca="false">IF(ISERROR(HLOOKUP(U$41,Coms,$BY49,0)),0,HLOOKUP(U$41,Coms,$BY49,0))</f>
        <v>0.00176</v>
      </c>
      <c r="V49" s="101" t="n">
        <f aca="false">IF(ISERROR(HLOOKUP(V$41,Coms,$BY49,0)),0,HLOOKUP(V$41,Coms,$BY49,0))</f>
        <v>0.00363</v>
      </c>
      <c r="W49" s="101" t="n">
        <f aca="false">IF(ISERROR(HLOOKUP(W$41,Coms,$BY49,0)),0,HLOOKUP(W$41,Coms,$BY49,0))</f>
        <v>0.00308</v>
      </c>
      <c r="X49" s="101" t="n">
        <f aca="false">IF(ISERROR(HLOOKUP(X$41,Coms,$BY49,0)),0,HLOOKUP(X$41,Coms,$BY49,0))</f>
        <v>0.00431</v>
      </c>
      <c r="Y49" s="101" t="n">
        <f aca="false">IF(ISERROR(HLOOKUP(Y$41,Coms,$BY49,0)),0,HLOOKUP(Y$41,Coms,$BY49,0))</f>
        <v>0.00336</v>
      </c>
      <c r="Z49" s="101" t="n">
        <f aca="false">IF(ISERROR(HLOOKUP(Z$41,Coms,$BY49,0)),0,HLOOKUP(Z$41,Coms,$BY49,0))</f>
        <v>0.00372</v>
      </c>
      <c r="AA49" s="102" t="n">
        <f aca="false">IF(ISERROR(HLOOKUP(AA$41,Coms,$BY49,0)),0,HLOOKUP(AA$41,Coms,$BY49,0))</f>
        <v>0.00455</v>
      </c>
      <c r="AB49" s="97" t="n">
        <f aca="false">IF(ISERROR(HLOOKUP(AB$41,Coms,$BY49,0)),0,HLOOKUP(AB$41,Coms,$BY49,0))</f>
        <v>0.00371587869498504</v>
      </c>
      <c r="AC49" s="98" t="n">
        <f aca="false">IF(ISERROR(HLOOKUP(AC$41,Coms,$BY49,0)),0,HLOOKUP(AC$41,Coms,$BY49,0))</f>
        <v>0.00383944925308455</v>
      </c>
      <c r="AD49" s="98" t="n">
        <f aca="false">IF(ISERROR(HLOOKUP(AD$41,Coms,$BY49,0)),0,HLOOKUP(AD$41,Coms,$BY49,0))</f>
        <v>0.00361497122290038</v>
      </c>
      <c r="AE49" s="98" t="n">
        <f aca="false">IF(ISERROR(HLOOKUP(AE$41,Coms,$BY49,0)),0,HLOOKUP(AE$41,Coms,$BY49,0))</f>
        <v>0.00321</v>
      </c>
      <c r="AF49" s="98" t="n">
        <f aca="false">IF(ISERROR(HLOOKUP(AF$41,Coms,$BY49,0)),0,HLOOKUP(AF$41,Coms,$BY49,0))</f>
        <v>0.00321</v>
      </c>
      <c r="AG49" s="98" t="n">
        <f aca="false">IF(ISERROR(HLOOKUP(AG$41,Coms,$BY49,0)),0,HLOOKUP(AG$41,Coms,$BY49,0))</f>
        <v>0.00424818913156623</v>
      </c>
      <c r="AH49" s="98" t="n">
        <f aca="false">IF(ISERROR(HLOOKUP(AH$41,Coms,$BY49,0)),0,HLOOKUP(AH$41,Coms,$BY49,0))</f>
        <v>0.00306</v>
      </c>
      <c r="AI49" s="98" t="n">
        <f aca="false">IF(ISERROR(HLOOKUP(AI$41,Coms,$BY49,0)),0,HLOOKUP(AI$41,Coms,$BY49,0))</f>
        <v>0</v>
      </c>
      <c r="AJ49" s="98" t="n">
        <f aca="false">IF(ISERROR(HLOOKUP(AJ$41,Coms,$BY49,0)),0,HLOOKUP(AJ$41,Coms,$BY49,0))</f>
        <v>0</v>
      </c>
      <c r="AK49" s="98" t="n">
        <f aca="false">IF(ISERROR(HLOOKUP(AK$41,Coms,$BY49,0)),0,HLOOKUP(AK$41,Coms,$BY49,0))</f>
        <v>0</v>
      </c>
      <c r="AL49" s="98" t="n">
        <f aca="false">IF(ISERROR(HLOOKUP(AL$41,Coms,$BY49,0)),0,HLOOKUP(AL$41,Coms,$BY49,0))</f>
        <v>0</v>
      </c>
      <c r="AM49" s="98" t="n">
        <f aca="false">IF(ISERROR(HLOOKUP(AM$41,Coms,$BY49,0)),0,HLOOKUP(AM$41,Coms,$BY49,0))</f>
        <v>0</v>
      </c>
      <c r="AN49" s="99" t="n">
        <f aca="false">IF(ISERROR(HLOOKUP(AN$41,Coms,$BY49,0)),0,HLOOKUP(AN$41,Coms,$BY49,0))</f>
        <v>0</v>
      </c>
      <c r="AO49" s="100" t="n">
        <f aca="false">IF(ISERROR(HLOOKUP(AO$41,Coms,$BY49,0)),0,HLOOKUP(AO$41,Coms,$BY49,0))</f>
        <v>0.00671</v>
      </c>
      <c r="AP49" s="101" t="n">
        <f aca="false">IF(ISERROR(HLOOKUP(AP$41,Coms,$BY49,0)),0,HLOOKUP(AP$41,Coms,$BY49,0))</f>
        <v>0.00728</v>
      </c>
      <c r="AQ49" s="101" t="n">
        <f aca="false">IF(ISERROR(HLOOKUP(AQ$41,Coms,$BY49,0)),0,HLOOKUP(AQ$41,Coms,$BY49,0))</f>
        <v>0.00342</v>
      </c>
      <c r="AR49" s="101" t="n">
        <f aca="false">IF(ISERROR(HLOOKUP(AR$41,Coms,$BY49,0)),0,HLOOKUP(AR$41,Coms,$BY49,0))</f>
        <v>0.00353</v>
      </c>
      <c r="AS49" s="101" t="n">
        <f aca="false">IF(ISERROR(HLOOKUP(AS$41,Coms,$BY49,0)),0,HLOOKUP(AS$41,Coms,$BY49,0))</f>
        <v>0.00902</v>
      </c>
      <c r="AT49" s="101" t="n">
        <f aca="false">IF(ISERROR(HLOOKUP(AT$41,Coms,$BY49,0)),0,HLOOKUP(AT$41,Coms,$BY49,0))</f>
        <v>0.00627</v>
      </c>
      <c r="AU49" s="101" t="n">
        <f aca="false">IF(ISERROR(HLOOKUP(AU$41,Coms,$BY49,0)),0,HLOOKUP(AU$41,Coms,$BY49,0))</f>
        <v>0.00677</v>
      </c>
      <c r="AV49" s="101" t="n">
        <f aca="false">IF(ISERROR(HLOOKUP(AV$41,Coms,$BY49,0)),0,HLOOKUP(AV$41,Coms,$BY49,0))</f>
        <v>0.00548</v>
      </c>
      <c r="AW49" s="101" t="n">
        <f aca="false">IF(ISERROR(HLOOKUP(AW$41,Coms,$BY49,0)),0,HLOOKUP(AW$41,Coms,$BY49,0))</f>
        <v>0.00778</v>
      </c>
      <c r="AX49" s="101" t="n">
        <f aca="false">IF(ISERROR(HLOOKUP(AX$41,Coms,$BY49,0)),0,HLOOKUP(AX$41,Coms,$BY49,0))</f>
        <v>0.00588</v>
      </c>
      <c r="AY49" s="101" t="n">
        <f aca="false">IF(ISERROR(HLOOKUP(AY$41,Coms,$BY49,0)),0,HLOOKUP(AY$41,Coms,$BY49,0))</f>
        <v>0.00601</v>
      </c>
      <c r="AZ49" s="101" t="n">
        <f aca="false">IF(ISERROR(HLOOKUP(AZ$41,Coms,$BY49,0)),0,HLOOKUP(AZ$41,Coms,$BY49,0))</f>
        <v>0</v>
      </c>
      <c r="BA49" s="102" t="n">
        <f aca="false">IF(ISERROR(HLOOKUP(BA$41,Coms,$BY49,0)),0,HLOOKUP(BA$41,Coms,$BY49,0))</f>
        <v>0</v>
      </c>
      <c r="BB49" s="97" t="n">
        <f aca="false">IF(ISERROR(HLOOKUP(BB$41,Coms,$BY49,0)),0,HLOOKUP(BB$41,Coms,$BY49,0))</f>
        <v>0.00406</v>
      </c>
      <c r="BC49" s="98" t="n">
        <f aca="false">IF(ISERROR(HLOOKUP(BC$41,Coms,$BY49,0)),0,HLOOKUP(BC$41,Coms,$BY49,0))</f>
        <v>0.00509</v>
      </c>
      <c r="BD49" s="98" t="n">
        <f aca="false">IF(ISERROR(HLOOKUP(BD$41,Coms,$BY49,0)),0,HLOOKUP(BD$41,Coms,$BY49,0))</f>
        <v>0.00597222180992357</v>
      </c>
      <c r="BE49" s="98" t="n">
        <f aca="false">IF(ISERROR(HLOOKUP(BE$41,Coms,$BY49,0)),0,HLOOKUP(BE$41,Coms,$BY49,0))</f>
        <v>0.0059726534896514</v>
      </c>
      <c r="BF49" s="98" t="n">
        <f aca="false">IF(ISERROR(HLOOKUP(BF$41,Coms,$BY49,0)),0,HLOOKUP(BF$41,Coms,$BY49,0))</f>
        <v>0.00289</v>
      </c>
      <c r="BG49" s="98" t="n">
        <f aca="false">IF(ISERROR(HLOOKUP(BG$41,Coms,$BY49,0)),0,HLOOKUP(BG$41,Coms,$BY49,0))</f>
        <v>0.00289</v>
      </c>
      <c r="BH49" s="98" t="n">
        <f aca="false">IF(ISERROR(HLOOKUP(BH$41,Coms,$BY49,0)),0,HLOOKUP(BH$41,Coms,$BY49,0))</f>
        <v>0.0053</v>
      </c>
      <c r="BI49" s="98" t="n">
        <f aca="false">IF(ISERROR(HLOOKUP(BI$41,Coms,$BY49,0)),0,HLOOKUP(BI$41,Coms,$BY49,0))</f>
        <v>0.00538</v>
      </c>
      <c r="BJ49" s="98" t="n">
        <f aca="false">IF(ISERROR(HLOOKUP(BJ$41,Coms,$BY49,0)),0,HLOOKUP(BJ$41,Coms,$BY49,0))</f>
        <v>0</v>
      </c>
      <c r="BK49" s="98" t="n">
        <f aca="false">IF(ISERROR(HLOOKUP(BK$41,Coms,$BY49,0)),0,HLOOKUP(BK$41,Coms,$BY49,0))</f>
        <v>0</v>
      </c>
      <c r="BL49" s="98" t="n">
        <f aca="false">IF(ISERROR(HLOOKUP(BL$41,Coms,$BY49,0)),0,HLOOKUP(BL$41,Coms,$BY49,0))</f>
        <v>0</v>
      </c>
      <c r="BM49" s="98" t="n">
        <f aca="false">IF(ISERROR(HLOOKUP(BM$41,Coms,$BY49,0)),0,HLOOKUP(BM$41,Coms,$BY49,0))</f>
        <v>0</v>
      </c>
      <c r="BN49" s="99" t="n">
        <f aca="false">IF(ISERROR(HLOOKUP(BN$41,Coms,$BY49,0)),0,HLOOKUP(BN$41,Coms,$BY49,0))</f>
        <v>0</v>
      </c>
      <c r="BY49" s="4" t="n">
        <v>9</v>
      </c>
    </row>
    <row r="50" customFormat="false" ht="15.75" hidden="false" customHeight="true" outlineLevel="0" collapsed="false">
      <c r="A50" s="103" t="s">
        <v>32</v>
      </c>
      <c r="B50" s="97" t="n">
        <f aca="false">IF(ISERROR(HLOOKUP(B$41,Coms,$BY50,0)),0,HLOOKUP(B$41,Coms,$BY50,0))</f>
        <v>0.00357</v>
      </c>
      <c r="C50" s="98" t="n">
        <f aca="false">IF(ISERROR(HLOOKUP(C$41,Coms,$BY50,0)),0,HLOOKUP(C$41,Coms,$BY50,0))</f>
        <v>0.00403</v>
      </c>
      <c r="D50" s="98" t="n">
        <f aca="false">IF(ISERROR(HLOOKUP(D$41,Coms,$BY50,0)),0,HLOOKUP(D$41,Coms,$BY50,0))</f>
        <v>0.00367</v>
      </c>
      <c r="E50" s="98" t="n">
        <f aca="false">IF(ISERROR(HLOOKUP(E$41,Coms,$BY50,0)),0,HLOOKUP(E$41,Coms,$BY50,0))</f>
        <v>0.00375</v>
      </c>
      <c r="F50" s="98" t="n">
        <f aca="false">IF(ISERROR(HLOOKUP(F$41,Coms,$BY50,0)),0,HLOOKUP(F$41,Coms,$BY50,0))</f>
        <v>0.00416</v>
      </c>
      <c r="G50" s="98" t="n">
        <f aca="false">IF(ISERROR(HLOOKUP(G$41,Coms,$BY50,0)),0,HLOOKUP(G$41,Coms,$BY50,0))</f>
        <v>0.00399</v>
      </c>
      <c r="H50" s="98" t="n">
        <f aca="false">IF(ISERROR(HLOOKUP(H$41,Coms,$BY50,0)),0,HLOOKUP(H$41,Coms,$BY50,0))</f>
        <v>0.00514</v>
      </c>
      <c r="I50" s="98" t="n">
        <f aca="false">IF(ISERROR(HLOOKUP(I$41,Coms,$BY50,0)),0,HLOOKUP(I$41,Coms,$BY50,0))</f>
        <v>0.00406</v>
      </c>
      <c r="J50" s="98" t="n">
        <f aca="false">IF(ISERROR(HLOOKUP(J$41,Coms,$BY50,0)),0,HLOOKUP(J$41,Coms,$BY50,0))</f>
        <v>0.00772</v>
      </c>
      <c r="K50" s="98" t="n">
        <f aca="false">IF(ISERROR(HLOOKUP(K$41,Coms,$BY50,0)),0,HLOOKUP(K$41,Coms,$BY50,0))</f>
        <v>0.0059</v>
      </c>
      <c r="L50" s="98" t="n">
        <f aca="false">IF(ISERROR(HLOOKUP(L$41,Coms,$BY50,0)),0,HLOOKUP(L$41,Coms,$BY50,0))</f>
        <v>0.0059</v>
      </c>
      <c r="M50" s="98" t="n">
        <f aca="false">IF(ISERROR(HLOOKUP(M$41,Coms,$BY50,0)),0,HLOOKUP(M$41,Coms,$BY50,0))</f>
        <v>0.00539</v>
      </c>
      <c r="N50" s="99" t="n">
        <f aca="false">IF(ISERROR(HLOOKUP(N$41,Coms,$BY50,0)),0,HLOOKUP(N$41,Coms,$BY50,0))</f>
        <v>0.00449</v>
      </c>
      <c r="O50" s="100" t="n">
        <f aca="false">IF(ISERROR(HLOOKUP(O$41,Coms,$BY50,0)),0,HLOOKUP(O$41,Coms,$BY50,0))</f>
        <v>0.0054</v>
      </c>
      <c r="P50" s="101" t="n">
        <f aca="false">IF(ISERROR(HLOOKUP(P$41,Coms,$BY50,0)),0,HLOOKUP(P$41,Coms,$BY50,0))</f>
        <v>0.00499</v>
      </c>
      <c r="Q50" s="101" t="n">
        <f aca="false">IF(ISERROR(HLOOKUP(Q$41,Coms,$BY50,0)),0,HLOOKUP(Q$41,Coms,$BY50,0))</f>
        <v>0.00511</v>
      </c>
      <c r="R50" s="101" t="n">
        <f aca="false">IF(ISERROR(HLOOKUP(R$41,Coms,$BY50,0)),0,HLOOKUP(R$41,Coms,$BY50,0))</f>
        <v>0.00314</v>
      </c>
      <c r="S50" s="101" t="n">
        <f aca="false">IF(ISERROR(HLOOKUP(S$41,Coms,$BY50,0)),0,HLOOKUP(S$41,Coms,$BY50,0))</f>
        <v>0.00219110489701406</v>
      </c>
      <c r="T50" s="101" t="n">
        <f aca="false">IF(ISERROR(HLOOKUP(T$41,Coms,$BY50,0)),0,HLOOKUP(T$41,Coms,$BY50,0))</f>
        <v>0.00415</v>
      </c>
      <c r="U50" s="101" t="n">
        <f aca="false">IF(ISERROR(HLOOKUP(U$41,Coms,$BY50,0)),0,HLOOKUP(U$41,Coms,$BY50,0))</f>
        <v>0.0017</v>
      </c>
      <c r="V50" s="101" t="n">
        <f aca="false">IF(ISERROR(HLOOKUP(V$41,Coms,$BY50,0)),0,HLOOKUP(V$41,Coms,$BY50,0))</f>
        <v>0.00448</v>
      </c>
      <c r="W50" s="101" t="n">
        <f aca="false">IF(ISERROR(HLOOKUP(W$41,Coms,$BY50,0)),0,HLOOKUP(W$41,Coms,$BY50,0))</f>
        <v>0.00352</v>
      </c>
      <c r="X50" s="101" t="n">
        <f aca="false">IF(ISERROR(HLOOKUP(X$41,Coms,$BY50,0)),0,HLOOKUP(X$41,Coms,$BY50,0))</f>
        <v>0.00493</v>
      </c>
      <c r="Y50" s="101" t="n">
        <f aca="false">IF(ISERROR(HLOOKUP(Y$41,Coms,$BY50,0)),0,HLOOKUP(Y$41,Coms,$BY50,0))</f>
        <v>0.00371</v>
      </c>
      <c r="Z50" s="101" t="n">
        <f aca="false">IF(ISERROR(HLOOKUP(Z$41,Coms,$BY50,0)),0,HLOOKUP(Z$41,Coms,$BY50,0))</f>
        <v>0.00396</v>
      </c>
      <c r="AA50" s="102" t="n">
        <f aca="false">IF(ISERROR(HLOOKUP(AA$41,Coms,$BY50,0)),0,HLOOKUP(AA$41,Coms,$BY50,0))</f>
        <v>0.00504</v>
      </c>
      <c r="AB50" s="97" t="n">
        <f aca="false">IF(ISERROR(HLOOKUP(AB$41,Coms,$BY50,0)),0,HLOOKUP(AB$41,Coms,$BY50,0))</f>
        <v>0.00434618428931218</v>
      </c>
      <c r="AC50" s="98" t="n">
        <f aca="false">IF(ISERROR(HLOOKUP(AC$41,Coms,$BY50,0)),0,HLOOKUP(AC$41,Coms,$BY50,0))</f>
        <v>0.00451328172352155</v>
      </c>
      <c r="AD50" s="98" t="n">
        <f aca="false">IF(ISERROR(HLOOKUP(AD$41,Coms,$BY50,0)),0,HLOOKUP(AD$41,Coms,$BY50,0))</f>
        <v>0.00414292166118303</v>
      </c>
      <c r="AE50" s="98" t="n">
        <f aca="false">IF(ISERROR(HLOOKUP(AE$41,Coms,$BY50,0)),0,HLOOKUP(AE$41,Coms,$BY50,0))</f>
        <v>0.00359</v>
      </c>
      <c r="AF50" s="98" t="n">
        <f aca="false">IF(ISERROR(HLOOKUP(AF$41,Coms,$BY50,0)),0,HLOOKUP(AF$41,Coms,$BY50,0))</f>
        <v>0.00359</v>
      </c>
      <c r="AG50" s="98" t="n">
        <f aca="false">IF(ISERROR(HLOOKUP(AG$41,Coms,$BY50,0)),0,HLOOKUP(AG$41,Coms,$BY50,0))</f>
        <v>0.00502816397791022</v>
      </c>
      <c r="AH50" s="98" t="n">
        <f aca="false">IF(ISERROR(HLOOKUP(AH$41,Coms,$BY50,0)),0,HLOOKUP(AH$41,Coms,$BY50,0))</f>
        <v>0.00393</v>
      </c>
      <c r="AI50" s="98" t="n">
        <f aca="false">IF(ISERROR(HLOOKUP(AI$41,Coms,$BY50,0)),0,HLOOKUP(AI$41,Coms,$BY50,0))</f>
        <v>0</v>
      </c>
      <c r="AJ50" s="98" t="n">
        <f aca="false">IF(ISERROR(HLOOKUP(AJ$41,Coms,$BY50,0)),0,HLOOKUP(AJ$41,Coms,$BY50,0))</f>
        <v>0</v>
      </c>
      <c r="AK50" s="98" t="n">
        <f aca="false">IF(ISERROR(HLOOKUP(AK$41,Coms,$BY50,0)),0,HLOOKUP(AK$41,Coms,$BY50,0))</f>
        <v>0</v>
      </c>
      <c r="AL50" s="98" t="n">
        <f aca="false">IF(ISERROR(HLOOKUP(AL$41,Coms,$BY50,0)),0,HLOOKUP(AL$41,Coms,$BY50,0))</f>
        <v>0</v>
      </c>
      <c r="AM50" s="98" t="n">
        <f aca="false">IF(ISERROR(HLOOKUP(AM$41,Coms,$BY50,0)),0,HLOOKUP(AM$41,Coms,$BY50,0))</f>
        <v>0</v>
      </c>
      <c r="AN50" s="99" t="n">
        <f aca="false">IF(ISERROR(HLOOKUP(AN$41,Coms,$BY50,0)),0,HLOOKUP(AN$41,Coms,$BY50,0))</f>
        <v>0</v>
      </c>
      <c r="AO50" s="100" t="n">
        <f aca="false">IF(ISERROR(HLOOKUP(AO$41,Coms,$BY50,0)),0,HLOOKUP(AO$41,Coms,$BY50,0))</f>
        <v>0.00803</v>
      </c>
      <c r="AP50" s="101" t="n">
        <f aca="false">IF(ISERROR(HLOOKUP(AP$41,Coms,$BY50,0)),0,HLOOKUP(AP$41,Coms,$BY50,0))</f>
        <v>0.009</v>
      </c>
      <c r="AQ50" s="101" t="n">
        <f aca="false">IF(ISERROR(HLOOKUP(AQ$41,Coms,$BY50,0)),0,HLOOKUP(AQ$41,Coms,$BY50,0))</f>
        <v>0.00414</v>
      </c>
      <c r="AR50" s="101" t="n">
        <f aca="false">IF(ISERROR(HLOOKUP(AR$41,Coms,$BY50,0)),0,HLOOKUP(AR$41,Coms,$BY50,0))</f>
        <v>0.00431</v>
      </c>
      <c r="AS50" s="101" t="n">
        <f aca="false">IF(ISERROR(HLOOKUP(AS$41,Coms,$BY50,0)),0,HLOOKUP(AS$41,Coms,$BY50,0))</f>
        <v>0.0116</v>
      </c>
      <c r="AT50" s="101" t="n">
        <f aca="false">IF(ISERROR(HLOOKUP(AT$41,Coms,$BY50,0)),0,HLOOKUP(AT$41,Coms,$BY50,0))</f>
        <v>0.00732</v>
      </c>
      <c r="AU50" s="101" t="n">
        <f aca="false">IF(ISERROR(HLOOKUP(AU$41,Coms,$BY50,0)),0,HLOOKUP(AU$41,Coms,$BY50,0))</f>
        <v>0.00726</v>
      </c>
      <c r="AV50" s="101" t="n">
        <f aca="false">IF(ISERROR(HLOOKUP(AV$41,Coms,$BY50,0)),0,HLOOKUP(AV$41,Coms,$BY50,0))</f>
        <v>0.00611</v>
      </c>
      <c r="AW50" s="101" t="n">
        <f aca="false">IF(ISERROR(HLOOKUP(AW$41,Coms,$BY50,0)),0,HLOOKUP(AW$41,Coms,$BY50,0))</f>
        <v>0.00912</v>
      </c>
      <c r="AX50" s="101" t="n">
        <f aca="false">IF(ISERROR(HLOOKUP(AX$41,Coms,$BY50,0)),0,HLOOKUP(AX$41,Coms,$BY50,0))</f>
        <v>0.00705</v>
      </c>
      <c r="AY50" s="101" t="n">
        <f aca="false">IF(ISERROR(HLOOKUP(AY$41,Coms,$BY50,0)),0,HLOOKUP(AY$41,Coms,$BY50,0))</f>
        <v>0.00736</v>
      </c>
      <c r="AZ50" s="101" t="n">
        <f aca="false">IF(ISERROR(HLOOKUP(AZ$41,Coms,$BY50,0)),0,HLOOKUP(AZ$41,Coms,$BY50,0))</f>
        <v>0</v>
      </c>
      <c r="BA50" s="102" t="n">
        <f aca="false">IF(ISERROR(HLOOKUP(BA$41,Coms,$BY50,0)),0,HLOOKUP(BA$41,Coms,$BY50,0))</f>
        <v>0</v>
      </c>
      <c r="BB50" s="97" t="n">
        <f aca="false">IF(ISERROR(HLOOKUP(BB$41,Coms,$BY50,0)),0,HLOOKUP(BB$41,Coms,$BY50,0))</f>
        <v>0.00511</v>
      </c>
      <c r="BC50" s="98" t="n">
        <f aca="false">IF(ISERROR(HLOOKUP(BC$41,Coms,$BY50,0)),0,HLOOKUP(BC$41,Coms,$BY50,0))</f>
        <v>0.00405</v>
      </c>
      <c r="BD50" s="98" t="n">
        <f aca="false">IF(ISERROR(HLOOKUP(BD$41,Coms,$BY50,0)),0,HLOOKUP(BD$41,Coms,$BY50,0))</f>
        <v>0.00454581891352099</v>
      </c>
      <c r="BE50" s="98" t="n">
        <f aca="false">IF(ISERROR(HLOOKUP(BE$41,Coms,$BY50,0)),0,HLOOKUP(BE$41,Coms,$BY50,0))</f>
        <v>0.00454600329044863</v>
      </c>
      <c r="BF50" s="98" t="n">
        <f aca="false">IF(ISERROR(HLOOKUP(BF$41,Coms,$BY50,0)),0,HLOOKUP(BF$41,Coms,$BY50,0))</f>
        <v>0.00353</v>
      </c>
      <c r="BG50" s="98" t="n">
        <f aca="false">IF(ISERROR(HLOOKUP(BG$41,Coms,$BY50,0)),0,HLOOKUP(BG$41,Coms,$BY50,0))</f>
        <v>0.00353</v>
      </c>
      <c r="BH50" s="98" t="n">
        <f aca="false">IF(ISERROR(HLOOKUP(BH$41,Coms,$BY50,0)),0,HLOOKUP(BH$41,Coms,$BY50,0))</f>
        <v>0.00577</v>
      </c>
      <c r="BI50" s="98" t="n">
        <f aca="false">IF(ISERROR(HLOOKUP(BI$41,Coms,$BY50,0)),0,HLOOKUP(BI$41,Coms,$BY50,0))</f>
        <v>0.00574</v>
      </c>
      <c r="BJ50" s="98" t="n">
        <f aca="false">IF(ISERROR(HLOOKUP(BJ$41,Coms,$BY50,0)),0,HLOOKUP(BJ$41,Coms,$BY50,0))</f>
        <v>0</v>
      </c>
      <c r="BK50" s="98" t="n">
        <f aca="false">IF(ISERROR(HLOOKUP(BK$41,Coms,$BY50,0)),0,HLOOKUP(BK$41,Coms,$BY50,0))</f>
        <v>0</v>
      </c>
      <c r="BL50" s="98" t="n">
        <f aca="false">IF(ISERROR(HLOOKUP(BL$41,Coms,$BY50,0)),0,HLOOKUP(BL$41,Coms,$BY50,0))</f>
        <v>0</v>
      </c>
      <c r="BM50" s="98" t="n">
        <f aca="false">IF(ISERROR(HLOOKUP(BM$41,Coms,$BY50,0)),0,HLOOKUP(BM$41,Coms,$BY50,0))</f>
        <v>0</v>
      </c>
      <c r="BN50" s="99" t="n">
        <f aca="false">IF(ISERROR(HLOOKUP(BN$41,Coms,$BY50,0)),0,HLOOKUP(BN$41,Coms,$BY50,0))</f>
        <v>0</v>
      </c>
      <c r="BY50" s="4" t="n">
        <v>10</v>
      </c>
    </row>
    <row r="51" customFormat="false" ht="15.75" hidden="false" customHeight="true" outlineLevel="0" collapsed="false">
      <c r="A51" s="103" t="s">
        <v>89</v>
      </c>
      <c r="B51" s="97" t="n">
        <f aca="false">IF(B$69=$BY51,B$70,0)</f>
        <v>0</v>
      </c>
      <c r="C51" s="98" t="n">
        <f aca="false">IF(C$69=$BY51,C$70,0)</f>
        <v>0</v>
      </c>
      <c r="D51" s="98" t="n">
        <f aca="false">IF(D$69=$BY51,D$70,0)</f>
        <v>0</v>
      </c>
      <c r="E51" s="98" t="n">
        <f aca="false">IF(E$69=$BY51,E$70,0)</f>
        <v>0</v>
      </c>
      <c r="F51" s="98" t="n">
        <f aca="false">IF(F$69=$BY51,F$70,0)</f>
        <v>0</v>
      </c>
      <c r="G51" s="98" t="n">
        <f aca="false">IF(G$69=$BY51,G$70,0)</f>
        <v>0</v>
      </c>
      <c r="H51" s="98" t="n">
        <f aca="false">IF(H$69=$BY51,H$70,0)</f>
        <v>0</v>
      </c>
      <c r="I51" s="98" t="n">
        <f aca="false">IF(I$69=$BY51,I$70,0)</f>
        <v>0</v>
      </c>
      <c r="J51" s="98" t="n">
        <f aca="false">IF(J$69=$BY51,J$70,0)</f>
        <v>0</v>
      </c>
      <c r="K51" s="98" t="n">
        <f aca="false">IF(K$69=$BY51,K$70,0)</f>
        <v>0</v>
      </c>
      <c r="L51" s="98" t="n">
        <f aca="false">IF(L$69=$BY51,L$70,0)</f>
        <v>0</v>
      </c>
      <c r="M51" s="98" t="n">
        <f aca="false">IF(M$69=$BY51,M$70,0)</f>
        <v>0</v>
      </c>
      <c r="N51" s="99" t="n">
        <f aca="false">IF(N$69=$BY51,N$70,0)</f>
        <v>0</v>
      </c>
      <c r="O51" s="100" t="n">
        <f aca="false">IF(O$69=$BY51,O$70,0)</f>
        <v>0</v>
      </c>
      <c r="P51" s="101" t="n">
        <f aca="false">IF(P$69=$BY51,P$70,0)</f>
        <v>0</v>
      </c>
      <c r="Q51" s="101" t="n">
        <f aca="false">IF(Q$69=$BY51,Q$70,0)</f>
        <v>0</v>
      </c>
      <c r="R51" s="101" t="n">
        <f aca="false">IF(R$69=$BY51,R$70,0)</f>
        <v>0</v>
      </c>
      <c r="S51" s="101" t="n">
        <f aca="false">IF(S$69=$BY51,S$70,0)</f>
        <v>0.00493124065919838</v>
      </c>
      <c r="T51" s="101" t="n">
        <f aca="false">IF(T$69=$BY51,T$70,0)</f>
        <v>0</v>
      </c>
      <c r="U51" s="101" t="n">
        <f aca="false">IF(U$69=$BY51,U$70,0)</f>
        <v>0.00132</v>
      </c>
      <c r="V51" s="101" t="n">
        <f aca="false">IF(V$69=$BY51,V$70,0)</f>
        <v>0</v>
      </c>
      <c r="W51" s="101" t="n">
        <f aca="false">IF(W$69=$BY51,W$70,0)</f>
        <v>0</v>
      </c>
      <c r="X51" s="101" t="n">
        <f aca="false">IF(X$69=$BY51,X$70,0)</f>
        <v>0</v>
      </c>
      <c r="Y51" s="101" t="n">
        <f aca="false">IF(Y$69=$BY51,Y$70,0)</f>
        <v>0</v>
      </c>
      <c r="Z51" s="101" t="n">
        <f aca="false">IF(Z$69=$BY51,Z$70,0)</f>
        <v>0</v>
      </c>
      <c r="AA51" s="102" t="n">
        <f aca="false">IF(AA$69=$BY51,AA$70,0)</f>
        <v>0</v>
      </c>
      <c r="AB51" s="97" t="n">
        <f aca="false">IF(AB$69=$BY51,AB$70,0)</f>
        <v>0</v>
      </c>
      <c r="AC51" s="98" t="n">
        <f aca="false">IF(AC$69=$BY51,AC$70,0)</f>
        <v>0</v>
      </c>
      <c r="AD51" s="98" t="n">
        <f aca="false">IF(AD$69=$BY51,AD$70,0)</f>
        <v>0</v>
      </c>
      <c r="AE51" s="98" t="n">
        <f aca="false">IF(AE$69=$BY51,AE$70,0)</f>
        <v>0</v>
      </c>
      <c r="AF51" s="98" t="n">
        <f aca="false">IF(AF$69=$BY51,AF$70,0)</f>
        <v>0</v>
      </c>
      <c r="AG51" s="98" t="n">
        <f aca="false">IF(AG$69=$BY51,AG$70,0)</f>
        <v>0</v>
      </c>
      <c r="AH51" s="98" t="n">
        <f aca="false">IF(AH$69=$BY51,AH$70,0)</f>
        <v>0</v>
      </c>
      <c r="AI51" s="98" t="n">
        <f aca="false">IF(AI$69=$BY51,AI$70,0)</f>
        <v>0</v>
      </c>
      <c r="AJ51" s="98" t="n">
        <f aca="false">IF(AJ$69=$BY51,AJ$70,0)</f>
        <v>0</v>
      </c>
      <c r="AK51" s="98" t="n">
        <f aca="false">IF(AK$69=$BY51,AK$70,0)</f>
        <v>0</v>
      </c>
      <c r="AL51" s="98" t="n">
        <f aca="false">IF(AL$69=$BY51,AL$70,0)</f>
        <v>0</v>
      </c>
      <c r="AM51" s="98" t="n">
        <f aca="false">IF(AM$69=$BY51,AM$70,0)</f>
        <v>0</v>
      </c>
      <c r="AN51" s="99" t="n">
        <f aca="false">IF(AN$69=$BY51,AN$70,0)</f>
        <v>0</v>
      </c>
      <c r="AO51" s="100" t="n">
        <f aca="false">IF(AO$69=$BY51,AO$70,0)</f>
        <v>0</v>
      </c>
      <c r="AP51" s="101" t="n">
        <f aca="false">IF(AP$69=$BY51,AP$70,0)</f>
        <v>0</v>
      </c>
      <c r="AQ51" s="101" t="n">
        <f aca="false">IF(AQ$69=$BY51,AQ$70,0)</f>
        <v>0</v>
      </c>
      <c r="AR51" s="101" t="n">
        <f aca="false">IF(AR$69=$BY51,AR$70,0)</f>
        <v>0</v>
      </c>
      <c r="AS51" s="101" t="n">
        <f aca="false">IF(AS$69=$BY51,AS$70,0)</f>
        <v>0</v>
      </c>
      <c r="AT51" s="101" t="n">
        <f aca="false">IF(AT$69=$BY51,AT$70,0)</f>
        <v>0</v>
      </c>
      <c r="AU51" s="101" t="n">
        <f aca="false">IF(AU$69=$BY51,AU$70,0)</f>
        <v>0</v>
      </c>
      <c r="AV51" s="101" t="n">
        <f aca="false">IF(AV$69=$BY51,AV$70,0)</f>
        <v>0</v>
      </c>
      <c r="AW51" s="101" t="n">
        <f aca="false">IF(AW$69=$BY51,AW$70,0)</f>
        <v>0</v>
      </c>
      <c r="AX51" s="101" t="n">
        <f aca="false">IF(AX$69=$BY51,AX$70,0)</f>
        <v>0</v>
      </c>
      <c r="AY51" s="101" t="n">
        <f aca="false">IF(AY$69=$BY51,AY$70,0)</f>
        <v>0</v>
      </c>
      <c r="AZ51" s="101" t="n">
        <f aca="false">IF(AZ$69=$BY51,AZ$70,0)</f>
        <v>0</v>
      </c>
      <c r="BA51" s="102" t="n">
        <f aca="false">IF(BA$69=$BY51,BA$70,0)</f>
        <v>0</v>
      </c>
      <c r="BB51" s="97" t="n">
        <f aca="false">IF(BB$69=$BY51,BB$70,0)</f>
        <v>0</v>
      </c>
      <c r="BC51" s="98" t="n">
        <f aca="false">IF(BC$69=$BY51,BC$70,0)</f>
        <v>0</v>
      </c>
      <c r="BD51" s="98" t="n">
        <f aca="false">IF(BD$69=$BY51,BD$70,0)</f>
        <v>0</v>
      </c>
      <c r="BE51" s="98" t="n">
        <f aca="false">IF(BE$69=$BY51,BE$70,0)</f>
        <v>0</v>
      </c>
      <c r="BF51" s="98" t="n">
        <f aca="false">IF(BF$69=$BY51,BF$70,0)</f>
        <v>0</v>
      </c>
      <c r="BG51" s="98" t="n">
        <f aca="false">IF(BG$69=$BY51,BG$70,0)</f>
        <v>0</v>
      </c>
      <c r="BH51" s="98" t="n">
        <f aca="false">IF(BH$69=$BY51,BH$70,0)</f>
        <v>0.01131</v>
      </c>
      <c r="BI51" s="98" t="n">
        <f aca="false">IF(BI$69=$BY51,BI$70,0)</f>
        <v>0</v>
      </c>
      <c r="BJ51" s="98" t="n">
        <f aca="false">IF(BJ$69=$BY51,BJ$70,0)</f>
        <v>0</v>
      </c>
      <c r="BK51" s="98" t="n">
        <f aca="false">IF(BK$69=$BY51,BK$70,0)</f>
        <v>0</v>
      </c>
      <c r="BL51" s="98" t="n">
        <f aca="false">IF(BL$69=$BY51,BL$70,0)</f>
        <v>0</v>
      </c>
      <c r="BM51" s="98" t="n">
        <f aca="false">IF(BM$69=$BY51,BM$70,0)</f>
        <v>0</v>
      </c>
      <c r="BN51" s="99" t="n">
        <f aca="false">IF(BN$69=$BY51,BN$70,0)</f>
        <v>0</v>
      </c>
      <c r="BY51" s="4" t="n">
        <v>1</v>
      </c>
    </row>
    <row r="52" customFormat="false" ht="15.75" hidden="false" customHeight="true" outlineLevel="0" collapsed="false">
      <c r="A52" s="103" t="s">
        <v>90</v>
      </c>
      <c r="B52" s="97" t="n">
        <f aca="false">IF(B$69=$BY52,B$70,0)</f>
        <v>0</v>
      </c>
      <c r="C52" s="98" t="n">
        <f aca="false">IF(C$69=$BY52,C$70,0)</f>
        <v>0</v>
      </c>
      <c r="D52" s="98" t="n">
        <f aca="false">IF(D$69=$BY52,D$70,0)</f>
        <v>0</v>
      </c>
      <c r="E52" s="98" t="n">
        <f aca="false">IF(E$69=$BY52,E$70,0)</f>
        <v>0</v>
      </c>
      <c r="F52" s="98" t="n">
        <f aca="false">IF(F$69=$BY52,F$70,0)</f>
        <v>0</v>
      </c>
      <c r="G52" s="98" t="n">
        <f aca="false">IF(G$69=$BY52,G$70,0)</f>
        <v>0</v>
      </c>
      <c r="H52" s="98" t="n">
        <f aca="false">IF(H$69=$BY52,H$70,0)</f>
        <v>0</v>
      </c>
      <c r="I52" s="98" t="n">
        <f aca="false">IF(I$69=$BY52,I$70,0)</f>
        <v>0</v>
      </c>
      <c r="J52" s="98" t="n">
        <f aca="false">IF(J$69=$BY52,J$70,0)</f>
        <v>0</v>
      </c>
      <c r="K52" s="98" t="n">
        <f aca="false">IF(K$69=$BY52,K$70,0)</f>
        <v>0</v>
      </c>
      <c r="L52" s="98" t="n">
        <f aca="false">IF(L$69=$BY52,L$70,0)</f>
        <v>0</v>
      </c>
      <c r="M52" s="98" t="n">
        <f aca="false">IF(M$69=$BY52,M$70,0)</f>
        <v>0</v>
      </c>
      <c r="N52" s="99" t="n">
        <f aca="false">IF(N$69=$BY52,N$70,0)</f>
        <v>0</v>
      </c>
      <c r="O52" s="100" t="n">
        <f aca="false">IF(O$69=$BY52,O$70,0)</f>
        <v>0</v>
      </c>
      <c r="P52" s="101" t="n">
        <f aca="false">IF(P$69=$BY52,P$70,0)</f>
        <v>0</v>
      </c>
      <c r="Q52" s="101" t="n">
        <f aca="false">IF(Q$69=$BY52,Q$70,0)</f>
        <v>0</v>
      </c>
      <c r="R52" s="101" t="n">
        <f aca="false">IF(R$69=$BY52,R$70,0)</f>
        <v>0</v>
      </c>
      <c r="S52" s="101" t="n">
        <f aca="false">IF(S$69=$BY52,S$70,0)</f>
        <v>0</v>
      </c>
      <c r="T52" s="101" t="n">
        <f aca="false">IF(T$69=$BY52,T$70,0)</f>
        <v>0</v>
      </c>
      <c r="U52" s="101" t="n">
        <f aca="false">IF(U$69=$BY52,U$70,0)</f>
        <v>0</v>
      </c>
      <c r="V52" s="101" t="n">
        <f aca="false">IF(V$69=$BY52,V$70,0)</f>
        <v>0</v>
      </c>
      <c r="W52" s="101" t="n">
        <f aca="false">IF(W$69=$BY52,W$70,0)</f>
        <v>0</v>
      </c>
      <c r="X52" s="101" t="n">
        <f aca="false">IF(X$69=$BY52,X$70,0)</f>
        <v>0</v>
      </c>
      <c r="Y52" s="101" t="n">
        <f aca="false">IF(Y$69=$BY52,Y$70,0)</f>
        <v>0</v>
      </c>
      <c r="Z52" s="101" t="n">
        <f aca="false">IF(Z$69=$BY52,Z$70,0)</f>
        <v>0</v>
      </c>
      <c r="AA52" s="102" t="n">
        <f aca="false">IF(AA$69=$BY52,AA$70,0)</f>
        <v>0</v>
      </c>
      <c r="AB52" s="97" t="n">
        <f aca="false">IF(AB$69=$BY52,AB$70,0)</f>
        <v>0</v>
      </c>
      <c r="AC52" s="98" t="n">
        <f aca="false">IF(AC$69=$BY52,AC$70,0)</f>
        <v>0</v>
      </c>
      <c r="AD52" s="98" t="n">
        <f aca="false">IF(AD$69=$BY52,AD$70,0)</f>
        <v>0</v>
      </c>
      <c r="AE52" s="98" t="n">
        <f aca="false">IF(AE$69=$BY52,AE$70,0)</f>
        <v>0</v>
      </c>
      <c r="AF52" s="98" t="n">
        <f aca="false">IF(AF$69=$BY52,AF$70,0)</f>
        <v>0.00431</v>
      </c>
      <c r="AG52" s="98" t="n">
        <f aca="false">IF(AG$69=$BY52,AG$70,0)</f>
        <v>0</v>
      </c>
      <c r="AH52" s="98" t="n">
        <f aca="false">IF(AH$69=$BY52,AH$70,0)</f>
        <v>0</v>
      </c>
      <c r="AI52" s="98" t="n">
        <f aca="false">IF(AI$69=$BY52,AI$70,0)</f>
        <v>0</v>
      </c>
      <c r="AJ52" s="98" t="n">
        <f aca="false">IF(AJ$69=$BY52,AJ$70,0)</f>
        <v>0</v>
      </c>
      <c r="AK52" s="98" t="n">
        <f aca="false">IF(AK$69=$BY52,AK$70,0)</f>
        <v>0</v>
      </c>
      <c r="AL52" s="98" t="n">
        <f aca="false">IF(AL$69=$BY52,AL$70,0)</f>
        <v>0</v>
      </c>
      <c r="AM52" s="98" t="n">
        <f aca="false">IF(AM$69=$BY52,AM$70,0)</f>
        <v>0</v>
      </c>
      <c r="AN52" s="99" t="n">
        <f aca="false">IF(AN$69=$BY52,AN$70,0)</f>
        <v>0</v>
      </c>
      <c r="AO52" s="100" t="n">
        <f aca="false">IF(AO$69=$BY52,AO$70,0)</f>
        <v>0</v>
      </c>
      <c r="AP52" s="101" t="n">
        <f aca="false">IF(AP$69=$BY52,AP$70,0)</f>
        <v>0</v>
      </c>
      <c r="AQ52" s="101" t="n">
        <f aca="false">IF(AQ$69=$BY52,AQ$70,0)</f>
        <v>0</v>
      </c>
      <c r="AR52" s="101" t="n">
        <f aca="false">IF(AR$69=$BY52,AR$70,0)</f>
        <v>0</v>
      </c>
      <c r="AS52" s="101" t="n">
        <f aca="false">IF(AS$69=$BY52,AS$70,0)</f>
        <v>0</v>
      </c>
      <c r="AT52" s="101" t="n">
        <f aca="false">IF(AT$69=$BY52,AT$70,0)</f>
        <v>0</v>
      </c>
      <c r="AU52" s="101" t="n">
        <f aca="false">IF(AU$69=$BY52,AU$70,0)</f>
        <v>0</v>
      </c>
      <c r="AV52" s="101" t="n">
        <f aca="false">IF(AV$69=$BY52,AV$70,0)</f>
        <v>0</v>
      </c>
      <c r="AW52" s="101" t="n">
        <f aca="false">IF(AW$69=$BY52,AW$70,0)</f>
        <v>0</v>
      </c>
      <c r="AX52" s="101" t="n">
        <f aca="false">IF(AX$69=$BY52,AX$70,0)</f>
        <v>0</v>
      </c>
      <c r="AY52" s="101" t="n">
        <f aca="false">IF(AY$69=$BY52,AY$70,0)</f>
        <v>0</v>
      </c>
      <c r="AZ52" s="101" t="n">
        <f aca="false">IF(AZ$69=$BY52,AZ$70,0)</f>
        <v>0</v>
      </c>
      <c r="BA52" s="102" t="n">
        <f aca="false">IF(BA$69=$BY52,BA$70,0)</f>
        <v>0</v>
      </c>
      <c r="BB52" s="97" t="n">
        <f aca="false">IF(BB$69=$BY52,BB$70,0)</f>
        <v>0</v>
      </c>
      <c r="BC52" s="98" t="n">
        <f aca="false">IF(BC$69=$BY52,BC$70,0)</f>
        <v>0</v>
      </c>
      <c r="BD52" s="98" t="n">
        <f aca="false">IF(BD$69=$BY52,BD$70,0)</f>
        <v>0</v>
      </c>
      <c r="BE52" s="98" t="n">
        <f aca="false">IF(BE$69=$BY52,BE$70,0)</f>
        <v>0</v>
      </c>
      <c r="BF52" s="98" t="n">
        <f aca="false">IF(BF$69=$BY52,BF$70,0)</f>
        <v>0</v>
      </c>
      <c r="BG52" s="98" t="n">
        <f aca="false">IF(BG$69=$BY52,BG$70,0)</f>
        <v>0</v>
      </c>
      <c r="BH52" s="98" t="n">
        <f aca="false">IF(BH$69=$BY52,BH$70,0)</f>
        <v>0</v>
      </c>
      <c r="BI52" s="98" t="n">
        <f aca="false">IF(BI$69=$BY52,BI$70,0)</f>
        <v>0</v>
      </c>
      <c r="BJ52" s="98" t="n">
        <f aca="false">IF(BJ$69=$BY52,BJ$70,0)</f>
        <v>0</v>
      </c>
      <c r="BK52" s="98" t="n">
        <f aca="false">IF(BK$69=$BY52,BK$70,0)</f>
        <v>0</v>
      </c>
      <c r="BL52" s="98" t="n">
        <f aca="false">IF(BL$69=$BY52,BL$70,0)</f>
        <v>0</v>
      </c>
      <c r="BM52" s="98" t="n">
        <f aca="false">IF(BM$69=$BY52,BM$70,0)</f>
        <v>0</v>
      </c>
      <c r="BN52" s="99" t="n">
        <f aca="false">IF(BN$69=$BY52,BN$70,0)</f>
        <v>0</v>
      </c>
      <c r="BY52" s="4" t="n">
        <v>2</v>
      </c>
    </row>
    <row r="53" customFormat="false" ht="15.75" hidden="false" customHeight="true" outlineLevel="0" collapsed="false">
      <c r="A53" s="103" t="s">
        <v>91</v>
      </c>
      <c r="B53" s="97" t="n">
        <f aca="false">IF(B$69=$BY53,B$70,0)</f>
        <v>0</v>
      </c>
      <c r="C53" s="98" t="n">
        <f aca="false">IF(C$69=$BY53,C$70,0)</f>
        <v>0</v>
      </c>
      <c r="D53" s="98" t="n">
        <f aca="false">IF(D$69=$BY53,D$70,0)</f>
        <v>0</v>
      </c>
      <c r="E53" s="98" t="n">
        <f aca="false">IF(E$69=$BY53,E$70,0)</f>
        <v>0</v>
      </c>
      <c r="F53" s="98" t="n">
        <f aca="false">IF(F$69=$BY53,F$70,0)</f>
        <v>0</v>
      </c>
      <c r="G53" s="98" t="n">
        <f aca="false">IF(G$69=$BY53,G$70,0)</f>
        <v>0</v>
      </c>
      <c r="H53" s="98" t="n">
        <f aca="false">IF(H$69=$BY53,H$70,0)</f>
        <v>0</v>
      </c>
      <c r="I53" s="98" t="n">
        <f aca="false">IF(I$69=$BY53,I$70,0)</f>
        <v>0</v>
      </c>
      <c r="J53" s="98" t="n">
        <f aca="false">IF(J$69=$BY53,J$70,0)</f>
        <v>0</v>
      </c>
      <c r="K53" s="98" t="n">
        <f aca="false">IF(K$69=$BY53,K$70,0)</f>
        <v>0</v>
      </c>
      <c r="L53" s="98" t="n">
        <f aca="false">IF(L$69=$BY53,L$70,0)</f>
        <v>0</v>
      </c>
      <c r="M53" s="98" t="n">
        <f aca="false">IF(M$69=$BY53,M$70,0)</f>
        <v>0</v>
      </c>
      <c r="N53" s="99" t="n">
        <f aca="false">IF(N$69=$BY53,N$70,0)</f>
        <v>0</v>
      </c>
      <c r="O53" s="100" t="n">
        <f aca="false">IF(O$69=$BY53,O$70,0)</f>
        <v>0</v>
      </c>
      <c r="P53" s="101" t="n">
        <f aca="false">IF(P$69=$BY53,P$70,0)</f>
        <v>0</v>
      </c>
      <c r="Q53" s="101" t="n">
        <f aca="false">IF(Q$69=$BY53,Q$70,0)</f>
        <v>0</v>
      </c>
      <c r="R53" s="101" t="n">
        <f aca="false">IF(R$69=$BY53,R$70,0)</f>
        <v>0</v>
      </c>
      <c r="S53" s="101" t="n">
        <f aca="false">IF(S$69=$BY53,S$70,0)</f>
        <v>0</v>
      </c>
      <c r="T53" s="101" t="n">
        <f aca="false">IF(T$69=$BY53,T$70,0)</f>
        <v>0</v>
      </c>
      <c r="U53" s="101" t="n">
        <f aca="false">IF(U$69=$BY53,U$70,0)</f>
        <v>0</v>
      </c>
      <c r="V53" s="101" t="n">
        <f aca="false">IF(V$69=$BY53,V$70,0)</f>
        <v>0</v>
      </c>
      <c r="W53" s="101" t="n">
        <f aca="false">IF(W$69=$BY53,W$70,0)</f>
        <v>0</v>
      </c>
      <c r="X53" s="101" t="n">
        <f aca="false">IF(X$69=$BY53,X$70,0)</f>
        <v>0</v>
      </c>
      <c r="Y53" s="101" t="n">
        <f aca="false">IF(Y$69=$BY53,Y$70,0)</f>
        <v>0</v>
      </c>
      <c r="Z53" s="101" t="n">
        <f aca="false">IF(Z$69=$BY53,Z$70,0)</f>
        <v>0</v>
      </c>
      <c r="AA53" s="102" t="n">
        <f aca="false">IF(AA$69=$BY53,AA$70,0)</f>
        <v>0</v>
      </c>
      <c r="AB53" s="97" t="n">
        <f aca="false">IF(AB$69=$BY53,AB$70,0)</f>
        <v>0</v>
      </c>
      <c r="AC53" s="98" t="n">
        <f aca="false">IF(AC$69=$BY53,AC$70,0)</f>
        <v>0</v>
      </c>
      <c r="AD53" s="98" t="n">
        <f aca="false">IF(AD$69=$BY53,AD$70,0)</f>
        <v>0</v>
      </c>
      <c r="AE53" s="98" t="n">
        <f aca="false">IF(AE$69=$BY53,AE$70,0)</f>
        <v>0.00431</v>
      </c>
      <c r="AF53" s="98" t="n">
        <f aca="false">IF(AF$69=$BY53,AF$70,0)</f>
        <v>0</v>
      </c>
      <c r="AG53" s="98" t="n">
        <f aca="false">IF(AG$69=$BY53,AG$70,0)</f>
        <v>0</v>
      </c>
      <c r="AH53" s="98" t="n">
        <f aca="false">IF(AH$69=$BY53,AH$70,0)</f>
        <v>0</v>
      </c>
      <c r="AI53" s="98" t="n">
        <f aca="false">IF(AI$69=$BY53,AI$70,0)</f>
        <v>0</v>
      </c>
      <c r="AJ53" s="98" t="n">
        <f aca="false">IF(AJ$69=$BY53,AJ$70,0)</f>
        <v>0</v>
      </c>
      <c r="AK53" s="98" t="n">
        <f aca="false">IF(AK$69=$BY53,AK$70,0)</f>
        <v>0</v>
      </c>
      <c r="AL53" s="98" t="n">
        <f aca="false">IF(AL$69=$BY53,AL$70,0)</f>
        <v>0</v>
      </c>
      <c r="AM53" s="98" t="n">
        <f aca="false">IF(AM$69=$BY53,AM$70,0)</f>
        <v>0</v>
      </c>
      <c r="AN53" s="99" t="n">
        <f aca="false">IF(AN$69=$BY53,AN$70,0)</f>
        <v>0</v>
      </c>
      <c r="AO53" s="100" t="n">
        <f aca="false">IF(AO$69=$BY53,AO$70,0)</f>
        <v>0</v>
      </c>
      <c r="AP53" s="101" t="n">
        <f aca="false">IF(AP$69=$BY53,AP$70,0)</f>
        <v>0</v>
      </c>
      <c r="AQ53" s="101" t="n">
        <f aca="false">IF(AQ$69=$BY53,AQ$70,0)</f>
        <v>0</v>
      </c>
      <c r="AR53" s="101" t="n">
        <f aca="false">IF(AR$69=$BY53,AR$70,0)</f>
        <v>0</v>
      </c>
      <c r="AS53" s="101" t="n">
        <f aca="false">IF(AS$69=$BY53,AS$70,0)</f>
        <v>0</v>
      </c>
      <c r="AT53" s="101" t="n">
        <f aca="false">IF(AT$69=$BY53,AT$70,0)</f>
        <v>0</v>
      </c>
      <c r="AU53" s="101" t="n">
        <f aca="false">IF(AU$69=$BY53,AU$70,0)</f>
        <v>0</v>
      </c>
      <c r="AV53" s="101" t="n">
        <f aca="false">IF(AV$69=$BY53,AV$70,0)</f>
        <v>0</v>
      </c>
      <c r="AW53" s="101" t="n">
        <f aca="false">IF(AW$69=$BY53,AW$70,0)</f>
        <v>0</v>
      </c>
      <c r="AX53" s="101" t="n">
        <f aca="false">IF(AX$69=$BY53,AX$70,0)</f>
        <v>0</v>
      </c>
      <c r="AY53" s="101" t="n">
        <f aca="false">IF(AY$69=$BY53,AY$70,0)</f>
        <v>0</v>
      </c>
      <c r="AZ53" s="101" t="n">
        <f aca="false">IF(AZ$69=$BY53,AZ$70,0)</f>
        <v>0</v>
      </c>
      <c r="BA53" s="102" t="n">
        <f aca="false">IF(BA$69=$BY53,BA$70,0)</f>
        <v>0</v>
      </c>
      <c r="BB53" s="97" t="n">
        <f aca="false">IF(BB$69=$BY53,BB$70,0)</f>
        <v>0</v>
      </c>
      <c r="BC53" s="98" t="n">
        <f aca="false">IF(BC$69=$BY53,BC$70,0)</f>
        <v>0</v>
      </c>
      <c r="BD53" s="98" t="n">
        <f aca="false">IF(BD$69=$BY53,BD$70,0)</f>
        <v>0</v>
      </c>
      <c r="BE53" s="98" t="n">
        <f aca="false">IF(BE$69=$BY53,BE$70,0)</f>
        <v>0</v>
      </c>
      <c r="BF53" s="98" t="n">
        <f aca="false">IF(BF$69=$BY53,BF$70,0)</f>
        <v>0</v>
      </c>
      <c r="BG53" s="98" t="n">
        <f aca="false">IF(BG$69=$BY53,BG$70,0)</f>
        <v>0</v>
      </c>
      <c r="BH53" s="98" t="n">
        <f aca="false">IF(BH$69=$BY53,BH$70,0)</f>
        <v>0</v>
      </c>
      <c r="BI53" s="98" t="n">
        <f aca="false">IF(BI$69=$BY53,BI$70,0)</f>
        <v>0</v>
      </c>
      <c r="BJ53" s="98" t="n">
        <f aca="false">IF(BJ$69=$BY53,BJ$70,0)</f>
        <v>0</v>
      </c>
      <c r="BK53" s="98" t="n">
        <f aca="false">IF(BK$69=$BY53,BK$70,0)</f>
        <v>0</v>
      </c>
      <c r="BL53" s="98" t="n">
        <f aca="false">IF(BL$69=$BY53,BL$70,0)</f>
        <v>0</v>
      </c>
      <c r="BM53" s="98" t="n">
        <f aca="false">IF(BM$69=$BY53,BM$70,0)</f>
        <v>0</v>
      </c>
      <c r="BN53" s="99" t="n">
        <f aca="false">IF(BN$69=$BY53,BN$70,0)</f>
        <v>0</v>
      </c>
      <c r="BY53" s="4" t="n">
        <v>3</v>
      </c>
    </row>
    <row r="54" customFormat="false" ht="15.75" hidden="false" customHeight="true" outlineLevel="0" collapsed="false">
      <c r="A54" s="103" t="s">
        <v>92</v>
      </c>
      <c r="B54" s="97" t="n">
        <f aca="false">IF(B$69=$BY54,B$70,0)</f>
        <v>0</v>
      </c>
      <c r="C54" s="98" t="n">
        <f aca="false">IF(C$69=$BY54,C$70,0)</f>
        <v>0</v>
      </c>
      <c r="D54" s="98" t="n">
        <f aca="false">IF(D$69=$BY54,D$70,0)</f>
        <v>0</v>
      </c>
      <c r="E54" s="98" t="n">
        <f aca="false">IF(E$69=$BY54,E$70,0)</f>
        <v>0</v>
      </c>
      <c r="F54" s="98" t="n">
        <f aca="false">IF(F$69=$BY54,F$70,0)</f>
        <v>0</v>
      </c>
      <c r="G54" s="98" t="n">
        <f aca="false">IF(G$69=$BY54,G$70,0)</f>
        <v>0</v>
      </c>
      <c r="H54" s="98" t="n">
        <f aca="false">IF(H$69=$BY54,H$70,0)</f>
        <v>0</v>
      </c>
      <c r="I54" s="98" t="n">
        <f aca="false">IF(I$69=$BY54,I$70,0)</f>
        <v>0</v>
      </c>
      <c r="J54" s="98" t="n">
        <f aca="false">IF(J$69=$BY54,J$70,0)</f>
        <v>0</v>
      </c>
      <c r="K54" s="98" t="n">
        <f aca="false">IF(K$69=$BY54,K$70,0)</f>
        <v>0</v>
      </c>
      <c r="L54" s="98" t="n">
        <f aca="false">IF(L$69=$BY54,L$70,0)</f>
        <v>0</v>
      </c>
      <c r="M54" s="98" t="n">
        <f aca="false">IF(M$69=$BY54,M$70,0)</f>
        <v>0</v>
      </c>
      <c r="N54" s="99" t="n">
        <f aca="false">IF(N$69=$BY54,N$70,0)</f>
        <v>0</v>
      </c>
      <c r="O54" s="100" t="n">
        <f aca="false">IF(O$69=$BY54,O$70,0)</f>
        <v>0</v>
      </c>
      <c r="P54" s="101" t="n">
        <f aca="false">IF(P$69=$BY54,P$70,0)</f>
        <v>0</v>
      </c>
      <c r="Q54" s="101" t="n">
        <f aca="false">IF(Q$69=$BY54,Q$70,0)</f>
        <v>0</v>
      </c>
      <c r="R54" s="101" t="n">
        <f aca="false">IF(R$69=$BY54,R$70,0)</f>
        <v>0</v>
      </c>
      <c r="S54" s="101" t="n">
        <f aca="false">IF(S$69=$BY54,S$70,0)</f>
        <v>0</v>
      </c>
      <c r="T54" s="101" t="n">
        <f aca="false">IF(T$69=$BY54,T$70,0)</f>
        <v>0</v>
      </c>
      <c r="U54" s="101" t="n">
        <f aca="false">IF(U$69=$BY54,U$70,0)</f>
        <v>0</v>
      </c>
      <c r="V54" s="101" t="n">
        <f aca="false">IF(V$69=$BY54,V$70,0)</f>
        <v>0</v>
      </c>
      <c r="W54" s="101" t="n">
        <f aca="false">IF(W$69=$BY54,W$70,0)</f>
        <v>0</v>
      </c>
      <c r="X54" s="101" t="n">
        <f aca="false">IF(X$69=$BY54,X$70,0)</f>
        <v>0</v>
      </c>
      <c r="Y54" s="101" t="n">
        <f aca="false">IF(Y$69=$BY54,Y$70,0)</f>
        <v>0</v>
      </c>
      <c r="Z54" s="101" t="n">
        <f aca="false">IF(Z$69=$BY54,Z$70,0)</f>
        <v>0</v>
      </c>
      <c r="AA54" s="102" t="n">
        <f aca="false">IF(AA$69=$BY54,AA$70,0)</f>
        <v>0</v>
      </c>
      <c r="AB54" s="97" t="n">
        <f aca="false">IF(AB$69=$BY54,AB$70,0)</f>
        <v>0</v>
      </c>
      <c r="AC54" s="98" t="n">
        <f aca="false">IF(AC$69=$BY54,AC$70,0)</f>
        <v>0</v>
      </c>
      <c r="AD54" s="98" t="n">
        <f aca="false">IF(AD$69=$BY54,AD$70,0)</f>
        <v>0</v>
      </c>
      <c r="AE54" s="98" t="n">
        <f aca="false">IF(AE$69=$BY54,AE$70,0)</f>
        <v>0</v>
      </c>
      <c r="AF54" s="98" t="n">
        <f aca="false">IF(AF$69=$BY54,AF$70,0)</f>
        <v>0</v>
      </c>
      <c r="AG54" s="98" t="n">
        <f aca="false">IF(AG$69=$BY54,AG$70,0)</f>
        <v>0.00566691364893962</v>
      </c>
      <c r="AH54" s="98" t="n">
        <f aca="false">IF(AH$69=$BY54,AH$70,0)</f>
        <v>0</v>
      </c>
      <c r="AI54" s="98" t="n">
        <f aca="false">IF(AI$69=$BY54,AI$70,0)</f>
        <v>0</v>
      </c>
      <c r="AJ54" s="98" t="n">
        <f aca="false">IF(AJ$69=$BY54,AJ$70,0)</f>
        <v>0</v>
      </c>
      <c r="AK54" s="98" t="n">
        <f aca="false">IF(AK$69=$BY54,AK$70,0)</f>
        <v>0</v>
      </c>
      <c r="AL54" s="98" t="n">
        <f aca="false">IF(AL$69=$BY54,AL$70,0)</f>
        <v>0</v>
      </c>
      <c r="AM54" s="98" t="n">
        <f aca="false">IF(AM$69=$BY54,AM$70,0)</f>
        <v>0</v>
      </c>
      <c r="AN54" s="99" t="n">
        <f aca="false">IF(AN$69=$BY54,AN$70,0)</f>
        <v>0</v>
      </c>
      <c r="AO54" s="100" t="n">
        <f aca="false">IF(AO$69=$BY54,AO$70,0)</f>
        <v>0</v>
      </c>
      <c r="AP54" s="101" t="n">
        <f aca="false">IF(AP$69=$BY54,AP$70,0)</f>
        <v>0</v>
      </c>
      <c r="AQ54" s="101" t="n">
        <f aca="false">IF(AQ$69=$BY54,AQ$70,0)</f>
        <v>0</v>
      </c>
      <c r="AR54" s="101" t="n">
        <f aca="false">IF(AR$69=$BY54,AR$70,0)</f>
        <v>0</v>
      </c>
      <c r="AS54" s="101" t="n">
        <f aca="false">IF(AS$69=$BY54,AS$70,0)</f>
        <v>0</v>
      </c>
      <c r="AT54" s="101" t="n">
        <f aca="false">IF(AT$69=$BY54,AT$70,0)</f>
        <v>0</v>
      </c>
      <c r="AU54" s="101" t="n">
        <f aca="false">IF(AU$69=$BY54,AU$70,0)</f>
        <v>0</v>
      </c>
      <c r="AV54" s="101" t="n">
        <f aca="false">IF(AV$69=$BY54,AV$70,0)</f>
        <v>0</v>
      </c>
      <c r="AW54" s="101" t="n">
        <f aca="false">IF(AW$69=$BY54,AW$70,0)</f>
        <v>0</v>
      </c>
      <c r="AX54" s="101" t="n">
        <f aca="false">IF(AX$69=$BY54,AX$70,0)</f>
        <v>0</v>
      </c>
      <c r="AY54" s="101" t="n">
        <f aca="false">IF(AY$69=$BY54,AY$70,0)</f>
        <v>0</v>
      </c>
      <c r="AZ54" s="101" t="n">
        <f aca="false">IF(AZ$69=$BY54,AZ$70,0)</f>
        <v>0</v>
      </c>
      <c r="BA54" s="102" t="n">
        <f aca="false">IF(BA$69=$BY54,BA$70,0)</f>
        <v>0</v>
      </c>
      <c r="BB54" s="97" t="n">
        <f aca="false">IF(BB$69=$BY54,BB$70,0)</f>
        <v>0</v>
      </c>
      <c r="BC54" s="98" t="n">
        <f aca="false">IF(BC$69=$BY54,BC$70,0)</f>
        <v>0.00522</v>
      </c>
      <c r="BD54" s="98" t="n">
        <f aca="false">IF(BD$69=$BY54,BD$70,0)</f>
        <v>0</v>
      </c>
      <c r="BE54" s="98" t="n">
        <f aca="false">IF(BE$69=$BY54,BE$70,0)</f>
        <v>0</v>
      </c>
      <c r="BF54" s="98" t="n">
        <f aca="false">IF(BF$69=$BY54,BF$70,0)</f>
        <v>0.00589</v>
      </c>
      <c r="BG54" s="98" t="n">
        <f aca="false">IF(BG$69=$BY54,BG$70,0)</f>
        <v>0</v>
      </c>
      <c r="BH54" s="98" t="n">
        <f aca="false">IF(BH$69=$BY54,BH$70,0)</f>
        <v>0</v>
      </c>
      <c r="BI54" s="98" t="n">
        <f aca="false">IF(BI$69=$BY54,BI$70,0)</f>
        <v>0</v>
      </c>
      <c r="BJ54" s="98" t="n">
        <f aca="false">IF(BJ$69=$BY54,BJ$70,0)</f>
        <v>0</v>
      </c>
      <c r="BK54" s="98" t="n">
        <f aca="false">IF(BK$69=$BY54,BK$70,0)</f>
        <v>0</v>
      </c>
      <c r="BL54" s="98" t="n">
        <f aca="false">IF(BL$69=$BY54,BL$70,0)</f>
        <v>0</v>
      </c>
      <c r="BM54" s="98" t="n">
        <f aca="false">IF(BM$69=$BY54,BM$70,0)</f>
        <v>0</v>
      </c>
      <c r="BN54" s="99" t="n">
        <f aca="false">IF(BN$69=$BY54,BN$70,0)</f>
        <v>0</v>
      </c>
      <c r="BY54" s="4" t="n">
        <v>4</v>
      </c>
    </row>
    <row r="55" customFormat="false" ht="15.75" hidden="false" customHeight="true" outlineLevel="0" collapsed="false">
      <c r="A55" s="103" t="s">
        <v>93</v>
      </c>
      <c r="B55" s="97" t="n">
        <f aca="false">IF(B$69=$BY55,B$70,0)</f>
        <v>0</v>
      </c>
      <c r="C55" s="98" t="n">
        <f aca="false">IF(C$69=$BY55,C$70,0)</f>
        <v>0</v>
      </c>
      <c r="D55" s="98" t="n">
        <f aca="false">IF(D$69=$BY55,D$70,0)</f>
        <v>0</v>
      </c>
      <c r="E55" s="98" t="n">
        <f aca="false">IF(E$69=$BY55,E$70,0)</f>
        <v>0</v>
      </c>
      <c r="F55" s="98" t="n">
        <f aca="false">IF(F$69=$BY55,F$70,0)</f>
        <v>0</v>
      </c>
      <c r="G55" s="98" t="n">
        <f aca="false">IF(G$69=$BY55,G$70,0)</f>
        <v>0</v>
      </c>
      <c r="H55" s="98" t="n">
        <f aca="false">IF(H$69=$BY55,H$70,0)</f>
        <v>0</v>
      </c>
      <c r="I55" s="98" t="n">
        <f aca="false">IF(I$69=$BY55,I$70,0)</f>
        <v>0</v>
      </c>
      <c r="J55" s="98" t="n">
        <f aca="false">IF(J$69=$BY55,J$70,0)</f>
        <v>0</v>
      </c>
      <c r="K55" s="98" t="n">
        <f aca="false">IF(K$69=$BY55,K$70,0)</f>
        <v>0</v>
      </c>
      <c r="L55" s="98" t="n">
        <f aca="false">IF(L$69=$BY55,L$70,0)</f>
        <v>0</v>
      </c>
      <c r="M55" s="98" t="n">
        <f aca="false">IF(M$69=$BY55,M$70,0)</f>
        <v>0</v>
      </c>
      <c r="N55" s="99" t="n">
        <f aca="false">IF(N$69=$BY55,N$70,0)</f>
        <v>0</v>
      </c>
      <c r="O55" s="100" t="n">
        <f aca="false">IF(O$69=$BY55,O$70,0)</f>
        <v>0</v>
      </c>
      <c r="P55" s="101" t="n">
        <f aca="false">IF(P$69=$BY55,P$70,0)</f>
        <v>0</v>
      </c>
      <c r="Q55" s="101" t="n">
        <f aca="false">IF(Q$69=$BY55,Q$70,0)</f>
        <v>0</v>
      </c>
      <c r="R55" s="101" t="n">
        <f aca="false">IF(R$69=$BY55,R$70,0)</f>
        <v>0</v>
      </c>
      <c r="S55" s="101" t="n">
        <f aca="false">IF(S$69=$BY55,S$70,0)</f>
        <v>0</v>
      </c>
      <c r="T55" s="101" t="n">
        <f aca="false">IF(T$69=$BY55,T$70,0)</f>
        <v>0</v>
      </c>
      <c r="U55" s="101" t="n">
        <f aca="false">IF(U$69=$BY55,U$70,0)</f>
        <v>0</v>
      </c>
      <c r="V55" s="101" t="n">
        <f aca="false">IF(V$69=$BY55,V$70,0)</f>
        <v>0</v>
      </c>
      <c r="W55" s="101" t="n">
        <f aca="false">IF(W$69=$BY55,W$70,0)</f>
        <v>0</v>
      </c>
      <c r="X55" s="101" t="n">
        <f aca="false">IF(X$69=$BY55,X$70,0)</f>
        <v>0</v>
      </c>
      <c r="Y55" s="101" t="n">
        <f aca="false">IF(Y$69=$BY55,Y$70,0)</f>
        <v>0</v>
      </c>
      <c r="Z55" s="101" t="n">
        <f aca="false">IF(Z$69=$BY55,Z$70,0)</f>
        <v>0</v>
      </c>
      <c r="AA55" s="102" t="n">
        <f aca="false">IF(AA$69=$BY55,AA$70,0)</f>
        <v>0</v>
      </c>
      <c r="AB55" s="97" t="n">
        <f aca="false">IF(AB$69=$BY55,AB$70,0)</f>
        <v>0.00617121662503194</v>
      </c>
      <c r="AC55" s="98" t="n">
        <f aca="false">IF(AC$69=$BY55,AC$70,0)</f>
        <v>0</v>
      </c>
      <c r="AD55" s="98" t="n">
        <f aca="false">IF(AD$69=$BY55,AD$70,0)</f>
        <v>0</v>
      </c>
      <c r="AE55" s="98" t="n">
        <f aca="false">IF(AE$69=$BY55,AE$70,0)</f>
        <v>0</v>
      </c>
      <c r="AF55" s="98" t="n">
        <f aca="false">IF(AF$69=$BY55,AF$70,0)</f>
        <v>0</v>
      </c>
      <c r="AG55" s="98" t="n">
        <f aca="false">IF(AG$69=$BY55,AG$70,0)</f>
        <v>0</v>
      </c>
      <c r="AH55" s="98" t="n">
        <f aca="false">IF(AH$69=$BY55,AH$70,0)</f>
        <v>0</v>
      </c>
      <c r="AI55" s="98" t="n">
        <f aca="false">IF(AI$69=$BY55,AI$70,0)</f>
        <v>0</v>
      </c>
      <c r="AJ55" s="98" t="n">
        <f aca="false">IF(AJ$69=$BY55,AJ$70,0)</f>
        <v>0</v>
      </c>
      <c r="AK55" s="98" t="n">
        <f aca="false">IF(AK$69=$BY55,AK$70,0)</f>
        <v>0</v>
      </c>
      <c r="AL55" s="98" t="n">
        <f aca="false">IF(AL$69=$BY55,AL$70,0)</f>
        <v>0</v>
      </c>
      <c r="AM55" s="98" t="n">
        <f aca="false">IF(AM$69=$BY55,AM$70,0)</f>
        <v>0</v>
      </c>
      <c r="AN55" s="99" t="n">
        <f aca="false">IF(AN$69=$BY55,AN$70,0)</f>
        <v>0</v>
      </c>
      <c r="AO55" s="100" t="n">
        <f aca="false">IF(AO$69=$BY55,AO$70,0)</f>
        <v>0</v>
      </c>
      <c r="AP55" s="101" t="n">
        <f aca="false">IF(AP$69=$BY55,AP$70,0)</f>
        <v>0</v>
      </c>
      <c r="AQ55" s="101" t="n">
        <f aca="false">IF(AQ$69=$BY55,AQ$70,0)</f>
        <v>0</v>
      </c>
      <c r="AR55" s="101" t="n">
        <f aca="false">IF(AR$69=$BY55,AR$70,0)</f>
        <v>0</v>
      </c>
      <c r="AS55" s="101" t="n">
        <f aca="false">IF(AS$69=$BY55,AS$70,0)</f>
        <v>0</v>
      </c>
      <c r="AT55" s="101" t="n">
        <f aca="false">IF(AT$69=$BY55,AT$70,0)</f>
        <v>0</v>
      </c>
      <c r="AU55" s="101" t="n">
        <f aca="false">IF(AU$69=$BY55,AU$70,0)</f>
        <v>0</v>
      </c>
      <c r="AV55" s="101" t="n">
        <f aca="false">IF(AV$69=$BY55,AV$70,0)</f>
        <v>0</v>
      </c>
      <c r="AW55" s="101" t="n">
        <f aca="false">IF(AW$69=$BY55,AW$70,0)</f>
        <v>0</v>
      </c>
      <c r="AX55" s="101" t="n">
        <f aca="false">IF(AX$69=$BY55,AX$70,0)</f>
        <v>0</v>
      </c>
      <c r="AY55" s="101" t="n">
        <f aca="false">IF(AY$69=$BY55,AY$70,0)</f>
        <v>0</v>
      </c>
      <c r="AZ55" s="101" t="n">
        <f aca="false">IF(AZ$69=$BY55,AZ$70,0)</f>
        <v>0</v>
      </c>
      <c r="BA55" s="102" t="n">
        <f aca="false">IF(BA$69=$BY55,BA$70,0)</f>
        <v>0</v>
      </c>
      <c r="BB55" s="97" t="n">
        <f aca="false">IF(BB$69=$BY55,BB$70,0)</f>
        <v>0</v>
      </c>
      <c r="BC55" s="98" t="n">
        <f aca="false">IF(BC$69=$BY55,BC$70,0)</f>
        <v>0</v>
      </c>
      <c r="BD55" s="98" t="n">
        <f aca="false">IF(BD$69=$BY55,BD$70,0)</f>
        <v>0</v>
      </c>
      <c r="BE55" s="98" t="n">
        <f aca="false">IF(BE$69=$BY55,BE$70,0)</f>
        <v>0</v>
      </c>
      <c r="BF55" s="98" t="n">
        <f aca="false">IF(BF$69=$BY55,BF$70,0)</f>
        <v>0</v>
      </c>
      <c r="BG55" s="98" t="n">
        <f aca="false">IF(BG$69=$BY55,BG$70,0)</f>
        <v>0</v>
      </c>
      <c r="BH55" s="98" t="n">
        <f aca="false">IF(BH$69=$BY55,BH$70,0)</f>
        <v>0</v>
      </c>
      <c r="BI55" s="98" t="n">
        <f aca="false">IF(BI$69=$BY55,BI$70,0)</f>
        <v>0</v>
      </c>
      <c r="BJ55" s="98" t="n">
        <f aca="false">IF(BJ$69=$BY55,BJ$70,0)</f>
        <v>0</v>
      </c>
      <c r="BK55" s="98" t="n">
        <f aca="false">IF(BK$69=$BY55,BK$70,0)</f>
        <v>0</v>
      </c>
      <c r="BL55" s="98" t="n">
        <f aca="false">IF(BL$69=$BY55,BL$70,0)</f>
        <v>0</v>
      </c>
      <c r="BM55" s="98" t="n">
        <f aca="false">IF(BM$69=$BY55,BM$70,0)</f>
        <v>0</v>
      </c>
      <c r="BN55" s="99" t="n">
        <f aca="false">IF(BN$69=$BY55,BN$70,0)</f>
        <v>0</v>
      </c>
      <c r="BY55" s="4" t="n">
        <v>5</v>
      </c>
    </row>
    <row r="56" customFormat="false" ht="15.75" hidden="false" customHeight="true" outlineLevel="0" collapsed="false">
      <c r="A56" s="103" t="s">
        <v>94</v>
      </c>
      <c r="B56" s="97" t="n">
        <f aca="false">IF(B$69=$BY56,B$70,0)</f>
        <v>0</v>
      </c>
      <c r="C56" s="98" t="n">
        <f aca="false">IF(C$69=$BY56,C$70,0)</f>
        <v>0</v>
      </c>
      <c r="D56" s="98" t="n">
        <f aca="false">IF(D$69=$BY56,D$70,0)</f>
        <v>0</v>
      </c>
      <c r="E56" s="98" t="n">
        <f aca="false">IF(E$69=$BY56,E$70,0)</f>
        <v>0</v>
      </c>
      <c r="F56" s="98" t="n">
        <f aca="false">IF(F$69=$BY56,F$70,0)</f>
        <v>0</v>
      </c>
      <c r="G56" s="98" t="n">
        <f aca="false">IF(G$69=$BY56,G$70,0)</f>
        <v>0</v>
      </c>
      <c r="H56" s="98" t="n">
        <f aca="false">IF(H$69=$BY56,H$70,0)</f>
        <v>0</v>
      </c>
      <c r="I56" s="98" t="n">
        <f aca="false">IF(I$69=$BY56,I$70,0)</f>
        <v>0</v>
      </c>
      <c r="J56" s="98" t="n">
        <f aca="false">IF(J$69=$BY56,J$70,0)</f>
        <v>0</v>
      </c>
      <c r="K56" s="98" t="n">
        <f aca="false">IF(K$69=$BY56,K$70,0)</f>
        <v>0</v>
      </c>
      <c r="L56" s="98" t="n">
        <f aca="false">IF(L$69=$BY56,L$70,0)</f>
        <v>0</v>
      </c>
      <c r="M56" s="98" t="n">
        <f aca="false">IF(M$69=$BY56,M$70,0)</f>
        <v>0</v>
      </c>
      <c r="N56" s="99" t="n">
        <f aca="false">IF(N$69=$BY56,N$70,0)</f>
        <v>0</v>
      </c>
      <c r="O56" s="100" t="n">
        <f aca="false">IF(O$69=$BY56,O$70,0)</f>
        <v>0</v>
      </c>
      <c r="P56" s="101" t="n">
        <f aca="false">IF(P$69=$BY56,P$70,0)</f>
        <v>0</v>
      </c>
      <c r="Q56" s="101" t="n">
        <f aca="false">IF(Q$69=$BY56,Q$70,0)</f>
        <v>0</v>
      </c>
      <c r="R56" s="101" t="n">
        <f aca="false">IF(R$69=$BY56,R$70,0)</f>
        <v>0</v>
      </c>
      <c r="S56" s="101" t="n">
        <f aca="false">IF(S$69=$BY56,S$70,0)</f>
        <v>0</v>
      </c>
      <c r="T56" s="101" t="n">
        <f aca="false">IF(T$69=$BY56,T$70,0)</f>
        <v>0</v>
      </c>
      <c r="U56" s="101" t="n">
        <f aca="false">IF(U$69=$BY56,U$70,0)</f>
        <v>0</v>
      </c>
      <c r="V56" s="101" t="n">
        <f aca="false">IF(V$69=$BY56,V$70,0)</f>
        <v>0</v>
      </c>
      <c r="W56" s="101" t="n">
        <f aca="false">IF(W$69=$BY56,W$70,0)</f>
        <v>0</v>
      </c>
      <c r="X56" s="101" t="n">
        <f aca="false">IF(X$69=$BY56,X$70,0)</f>
        <v>0</v>
      </c>
      <c r="Y56" s="101" t="n">
        <f aca="false">IF(Y$69=$BY56,Y$70,0)</f>
        <v>0</v>
      </c>
      <c r="Z56" s="101" t="n">
        <f aca="false">IF(Z$69=$BY56,Z$70,0)</f>
        <v>0</v>
      </c>
      <c r="AA56" s="102" t="n">
        <f aca="false">IF(AA$69=$BY56,AA$70,0)</f>
        <v>0</v>
      </c>
      <c r="AB56" s="97" t="n">
        <f aca="false">IF(AB$69=$BY56,AB$70,0)</f>
        <v>0</v>
      </c>
      <c r="AC56" s="98" t="n">
        <f aca="false">IF(AC$69=$BY56,AC$70,0)</f>
        <v>0.0061644259669184</v>
      </c>
      <c r="AD56" s="98" t="n">
        <f aca="false">IF(AD$69=$BY56,AD$70,0)</f>
        <v>0</v>
      </c>
      <c r="AE56" s="98" t="n">
        <f aca="false">IF(AE$69=$BY56,AE$70,0)</f>
        <v>0</v>
      </c>
      <c r="AF56" s="98" t="n">
        <f aca="false">IF(AF$69=$BY56,AF$70,0)</f>
        <v>0</v>
      </c>
      <c r="AG56" s="98" t="n">
        <f aca="false">IF(AG$69=$BY56,AG$70,0)</f>
        <v>0</v>
      </c>
      <c r="AH56" s="98" t="n">
        <f aca="false">IF(AH$69=$BY56,AH$70,0)</f>
        <v>0</v>
      </c>
      <c r="AI56" s="98" t="n">
        <f aca="false">IF(AI$69=$BY56,AI$70,0)</f>
        <v>0</v>
      </c>
      <c r="AJ56" s="98" t="n">
        <f aca="false">IF(AJ$69=$BY56,AJ$70,0)</f>
        <v>0</v>
      </c>
      <c r="AK56" s="98" t="n">
        <f aca="false">IF(AK$69=$BY56,AK$70,0)</f>
        <v>0</v>
      </c>
      <c r="AL56" s="98" t="n">
        <f aca="false">IF(AL$69=$BY56,AL$70,0)</f>
        <v>0</v>
      </c>
      <c r="AM56" s="98" t="n">
        <f aca="false">IF(AM$69=$BY56,AM$70,0)</f>
        <v>0</v>
      </c>
      <c r="AN56" s="99" t="n">
        <f aca="false">IF(AN$69=$BY56,AN$70,0)</f>
        <v>0</v>
      </c>
      <c r="AO56" s="100" t="n">
        <f aca="false">IF(AO$69=$BY56,AO$70,0)</f>
        <v>0</v>
      </c>
      <c r="AP56" s="101" t="n">
        <f aca="false">IF(AP$69=$BY56,AP$70,0)</f>
        <v>0.01351</v>
      </c>
      <c r="AQ56" s="101" t="n">
        <f aca="false">IF(AQ$69=$BY56,AQ$70,0)</f>
        <v>0</v>
      </c>
      <c r="AR56" s="101" t="n">
        <f aca="false">IF(AR$69=$BY56,AR$70,0)</f>
        <v>0</v>
      </c>
      <c r="AS56" s="101" t="n">
        <f aca="false">IF(AS$69=$BY56,AS$70,0)</f>
        <v>0.02704</v>
      </c>
      <c r="AT56" s="101" t="n">
        <f aca="false">IF(AT$69=$BY56,AT$70,0)</f>
        <v>0</v>
      </c>
      <c r="AU56" s="101" t="n">
        <f aca="false">IF(AU$69=$BY56,AU$70,0)</f>
        <v>0</v>
      </c>
      <c r="AV56" s="101" t="n">
        <f aca="false">IF(AV$69=$BY56,AV$70,0)</f>
        <v>0</v>
      </c>
      <c r="AW56" s="101" t="n">
        <f aca="false">IF(AW$69=$BY56,AW$70,0)</f>
        <v>0</v>
      </c>
      <c r="AX56" s="101" t="n">
        <f aca="false">IF(AX$69=$BY56,AX$70,0)</f>
        <v>0</v>
      </c>
      <c r="AY56" s="101" t="n">
        <f aca="false">IF(AY$69=$BY56,AY$70,0)</f>
        <v>0</v>
      </c>
      <c r="AZ56" s="101" t="n">
        <f aca="false">IF(AZ$69=$BY56,AZ$70,0)</f>
        <v>0</v>
      </c>
      <c r="BA56" s="102" t="n">
        <f aca="false">IF(BA$69=$BY56,BA$70,0)</f>
        <v>0</v>
      </c>
      <c r="BB56" s="97" t="n">
        <f aca="false">IF(BB$69=$BY56,BB$70,0)</f>
        <v>0</v>
      </c>
      <c r="BC56" s="98" t="n">
        <f aca="false">IF(BC$69=$BY56,BC$70,0)</f>
        <v>0</v>
      </c>
      <c r="BD56" s="98" t="n">
        <f aca="false">IF(BD$69=$BY56,BD$70,0)</f>
        <v>0</v>
      </c>
      <c r="BE56" s="98" t="n">
        <f aca="false">IF(BE$69=$BY56,BE$70,0)</f>
        <v>0</v>
      </c>
      <c r="BF56" s="98" t="n">
        <f aca="false">IF(BF$69=$BY56,BF$70,0)</f>
        <v>0</v>
      </c>
      <c r="BG56" s="98" t="n">
        <f aca="false">IF(BG$69=$BY56,BG$70,0)</f>
        <v>0.00589</v>
      </c>
      <c r="BH56" s="98" t="n">
        <f aca="false">IF(BH$69=$BY56,BH$70,0)</f>
        <v>0</v>
      </c>
      <c r="BI56" s="98" t="n">
        <f aca="false">IF(BI$69=$BY56,BI$70,0)</f>
        <v>0.00401</v>
      </c>
      <c r="BJ56" s="98" t="n">
        <f aca="false">IF(BJ$69=$BY56,BJ$70,0)</f>
        <v>0</v>
      </c>
      <c r="BK56" s="98" t="n">
        <f aca="false">IF(BK$69=$BY56,BK$70,0)</f>
        <v>0</v>
      </c>
      <c r="BL56" s="98" t="n">
        <f aca="false">IF(BL$69=$BY56,BL$70,0)</f>
        <v>0</v>
      </c>
      <c r="BM56" s="98" t="n">
        <f aca="false">IF(BM$69=$BY56,BM$70,0)</f>
        <v>0</v>
      </c>
      <c r="BN56" s="99" t="n">
        <f aca="false">IF(BN$69=$BY56,BN$70,0)</f>
        <v>0</v>
      </c>
      <c r="BY56" s="4" t="n">
        <v>6</v>
      </c>
    </row>
    <row r="57" customFormat="false" ht="15.75" hidden="false" customHeight="true" outlineLevel="0" collapsed="false">
      <c r="A57" s="103" t="s">
        <v>95</v>
      </c>
      <c r="B57" s="97" t="n">
        <f aca="false">IF(B$69=$BY57,B$70,0)</f>
        <v>0</v>
      </c>
      <c r="C57" s="98" t="n">
        <f aca="false">IF(C$69=$BY57,C$70,0)</f>
        <v>0</v>
      </c>
      <c r="D57" s="98" t="n">
        <f aca="false">IF(D$69=$BY57,D$70,0)</f>
        <v>0</v>
      </c>
      <c r="E57" s="98" t="n">
        <f aca="false">IF(E$69=$BY57,E$70,0)</f>
        <v>0</v>
      </c>
      <c r="F57" s="98" t="n">
        <f aca="false">IF(F$69=$BY57,F$70,0)</f>
        <v>0</v>
      </c>
      <c r="G57" s="98" t="n">
        <f aca="false">IF(G$69=$BY57,G$70,0)</f>
        <v>0</v>
      </c>
      <c r="H57" s="98" t="n">
        <f aca="false">IF(H$69=$BY57,H$70,0)</f>
        <v>0</v>
      </c>
      <c r="I57" s="98" t="n">
        <f aca="false">IF(I$69=$BY57,I$70,0)</f>
        <v>0</v>
      </c>
      <c r="J57" s="98" t="n">
        <f aca="false">IF(J$69=$BY57,J$70,0)</f>
        <v>0</v>
      </c>
      <c r="K57" s="98" t="n">
        <f aca="false">IF(K$69=$BY57,K$70,0)</f>
        <v>0</v>
      </c>
      <c r="L57" s="98" t="n">
        <f aca="false">IF(L$69=$BY57,L$70,0)</f>
        <v>0</v>
      </c>
      <c r="M57" s="98" t="n">
        <f aca="false">IF(M$69=$BY57,M$70,0)</f>
        <v>0</v>
      </c>
      <c r="N57" s="99" t="n">
        <f aca="false">IF(N$69=$BY57,N$70,0)</f>
        <v>0</v>
      </c>
      <c r="O57" s="100" t="n">
        <f aca="false">IF(O$69=$BY57,O$70,0)</f>
        <v>0</v>
      </c>
      <c r="P57" s="101" t="n">
        <f aca="false">IF(P$69=$BY57,P$70,0)</f>
        <v>0</v>
      </c>
      <c r="Q57" s="101" t="n">
        <f aca="false">IF(Q$69=$BY57,Q$70,0)</f>
        <v>0</v>
      </c>
      <c r="R57" s="101" t="n">
        <f aca="false">IF(R$69=$BY57,R$70,0)</f>
        <v>0</v>
      </c>
      <c r="S57" s="101" t="n">
        <f aca="false">IF(S$69=$BY57,S$70,0)</f>
        <v>0</v>
      </c>
      <c r="T57" s="101" t="n">
        <f aca="false">IF(T$69=$BY57,T$70,0)</f>
        <v>0</v>
      </c>
      <c r="U57" s="101" t="n">
        <f aca="false">IF(U$69=$BY57,U$70,0)</f>
        <v>0</v>
      </c>
      <c r="V57" s="101" t="n">
        <f aca="false">IF(V$69=$BY57,V$70,0)</f>
        <v>0</v>
      </c>
      <c r="W57" s="101" t="n">
        <f aca="false">IF(W$69=$BY57,W$70,0)</f>
        <v>0</v>
      </c>
      <c r="X57" s="101" t="n">
        <f aca="false">IF(X$69=$BY57,X$70,0)</f>
        <v>0.01044</v>
      </c>
      <c r="Y57" s="101" t="n">
        <f aca="false">IF(Y$69=$BY57,Y$70,0)</f>
        <v>0</v>
      </c>
      <c r="Z57" s="101" t="n">
        <f aca="false">IF(Z$69=$BY57,Z$70,0)</f>
        <v>0</v>
      </c>
      <c r="AA57" s="102" t="n">
        <f aca="false">IF(AA$69=$BY57,AA$70,0)</f>
        <v>0</v>
      </c>
      <c r="AB57" s="97" t="n">
        <f aca="false">IF(AB$69=$BY57,AB$70,0)</f>
        <v>0</v>
      </c>
      <c r="AC57" s="98" t="n">
        <f aca="false">IF(AC$69=$BY57,AC$70,0)</f>
        <v>0</v>
      </c>
      <c r="AD57" s="98" t="n">
        <f aca="false">IF(AD$69=$BY57,AD$70,0)</f>
        <v>0</v>
      </c>
      <c r="AE57" s="98" t="n">
        <f aca="false">IF(AE$69=$BY57,AE$70,0)</f>
        <v>0</v>
      </c>
      <c r="AF57" s="98" t="n">
        <f aca="false">IF(AF$69=$BY57,AF$70,0)</f>
        <v>0</v>
      </c>
      <c r="AG57" s="98" t="n">
        <f aca="false">IF(AG$69=$BY57,AG$70,0)</f>
        <v>0</v>
      </c>
      <c r="AH57" s="98" t="n">
        <f aca="false">IF(AH$69=$BY57,AH$70,0)</f>
        <v>0</v>
      </c>
      <c r="AI57" s="98" t="n">
        <f aca="false">IF(AI$69=$BY57,AI$70,0)</f>
        <v>0</v>
      </c>
      <c r="AJ57" s="98" t="n">
        <f aca="false">IF(AJ$69=$BY57,AJ$70,0)</f>
        <v>0</v>
      </c>
      <c r="AK57" s="98" t="n">
        <f aca="false">IF(AK$69=$BY57,AK$70,0)</f>
        <v>0</v>
      </c>
      <c r="AL57" s="98" t="n">
        <f aca="false">IF(AL$69=$BY57,AL$70,0)</f>
        <v>0</v>
      </c>
      <c r="AM57" s="98" t="n">
        <f aca="false">IF(AM$69=$BY57,AM$70,0)</f>
        <v>0</v>
      </c>
      <c r="AN57" s="99" t="n">
        <f aca="false">IF(AN$69=$BY57,AN$70,0)</f>
        <v>0</v>
      </c>
      <c r="AO57" s="100" t="n">
        <f aca="false">IF(AO$69=$BY57,AO$70,0)</f>
        <v>0</v>
      </c>
      <c r="AP57" s="101" t="n">
        <f aca="false">IF(AP$69=$BY57,AP$70,0)</f>
        <v>0</v>
      </c>
      <c r="AQ57" s="101" t="n">
        <f aca="false">IF(AQ$69=$BY57,AQ$70,0)</f>
        <v>0</v>
      </c>
      <c r="AR57" s="101" t="n">
        <f aca="false">IF(AR$69=$BY57,AR$70,0)</f>
        <v>0</v>
      </c>
      <c r="AS57" s="101" t="n">
        <f aca="false">IF(AS$69=$BY57,AS$70,0)</f>
        <v>0</v>
      </c>
      <c r="AT57" s="101" t="n">
        <f aca="false">IF(AT$69=$BY57,AT$70,0)</f>
        <v>0</v>
      </c>
      <c r="AU57" s="101" t="n">
        <f aca="false">IF(AU$69=$BY57,AU$70,0)</f>
        <v>0</v>
      </c>
      <c r="AV57" s="101" t="n">
        <f aca="false">IF(AV$69=$BY57,AV$70,0)</f>
        <v>0</v>
      </c>
      <c r="AW57" s="101" t="n">
        <f aca="false">IF(AW$69=$BY57,AW$70,0)</f>
        <v>0.02337</v>
      </c>
      <c r="AX57" s="101" t="n">
        <f aca="false">IF(AX$69=$BY57,AX$70,0)</f>
        <v>0</v>
      </c>
      <c r="AY57" s="101" t="n">
        <f aca="false">IF(AY$69=$BY57,AY$70,0)</f>
        <v>0</v>
      </c>
      <c r="AZ57" s="101" t="n">
        <f aca="false">IF(AZ$69=$BY57,AZ$70,0)</f>
        <v>0</v>
      </c>
      <c r="BA57" s="102" t="n">
        <f aca="false">IF(BA$69=$BY57,BA$70,0)</f>
        <v>0</v>
      </c>
      <c r="BB57" s="97" t="n">
        <f aca="false">IF(BB$69=$BY57,BB$70,0)</f>
        <v>0</v>
      </c>
      <c r="BC57" s="98" t="n">
        <f aca="false">IF(BC$69=$BY57,BC$70,0)</f>
        <v>0</v>
      </c>
      <c r="BD57" s="98" t="n">
        <f aca="false">IF(BD$69=$BY57,BD$70,0)</f>
        <v>0.00637607646682903</v>
      </c>
      <c r="BE57" s="98" t="n">
        <f aca="false">IF(BE$69=$BY57,BE$70,0)</f>
        <v>0.00637677696725122</v>
      </c>
      <c r="BF57" s="98" t="n">
        <f aca="false">IF(BF$69=$BY57,BF$70,0)</f>
        <v>0</v>
      </c>
      <c r="BG57" s="98" t="n">
        <f aca="false">IF(BG$69=$BY57,BG$70,0)</f>
        <v>0</v>
      </c>
      <c r="BH57" s="98" t="n">
        <f aca="false">IF(BH$69=$BY57,BH$70,0)</f>
        <v>0</v>
      </c>
      <c r="BI57" s="98" t="n">
        <f aca="false">IF(BI$69=$BY57,BI$70,0)</f>
        <v>0</v>
      </c>
      <c r="BJ57" s="98" t="n">
        <f aca="false">IF(BJ$69=$BY57,BJ$70,0)</f>
        <v>0</v>
      </c>
      <c r="BK57" s="98" t="n">
        <f aca="false">IF(BK$69=$BY57,BK$70,0)</f>
        <v>0</v>
      </c>
      <c r="BL57" s="98" t="n">
        <f aca="false">IF(BL$69=$BY57,BL$70,0)</f>
        <v>0</v>
      </c>
      <c r="BM57" s="98" t="n">
        <f aca="false">IF(BM$69=$BY57,BM$70,0)</f>
        <v>0</v>
      </c>
      <c r="BN57" s="99" t="n">
        <f aca="false">IF(BN$69=$BY57,BN$70,0)</f>
        <v>0</v>
      </c>
      <c r="BY57" s="4" t="n">
        <v>7</v>
      </c>
    </row>
    <row r="58" customFormat="false" ht="15.75" hidden="false" customHeight="true" outlineLevel="0" collapsed="false">
      <c r="A58" s="103" t="s">
        <v>96</v>
      </c>
      <c r="B58" s="97" t="n">
        <f aca="false">IF(B$69=$BY58,B$70,0)</f>
        <v>0</v>
      </c>
      <c r="C58" s="98" t="n">
        <f aca="false">IF(C$69=$BY58,C$70,0)</f>
        <v>0</v>
      </c>
      <c r="D58" s="98" t="n">
        <f aca="false">IF(D$69=$BY58,D$70,0)</f>
        <v>0</v>
      </c>
      <c r="E58" s="98" t="n">
        <f aca="false">IF(E$69=$BY58,E$70,0)</f>
        <v>0</v>
      </c>
      <c r="F58" s="98" t="n">
        <f aca="false">IF(F$69=$BY58,F$70,0)</f>
        <v>0</v>
      </c>
      <c r="G58" s="98" t="n">
        <f aca="false">IF(G$69=$BY58,G$70,0)</f>
        <v>0</v>
      </c>
      <c r="H58" s="98" t="n">
        <f aca="false">IF(H$69=$BY58,H$70,0)</f>
        <v>0</v>
      </c>
      <c r="I58" s="98" t="n">
        <f aca="false">IF(I$69=$BY58,I$70,0)</f>
        <v>0</v>
      </c>
      <c r="J58" s="98" t="n">
        <f aca="false">IF(J$69=$BY58,J$70,0)</f>
        <v>0</v>
      </c>
      <c r="K58" s="98" t="n">
        <f aca="false">IF(K$69=$BY58,K$70,0)</f>
        <v>0</v>
      </c>
      <c r="L58" s="98" t="n">
        <f aca="false">IF(L$69=$BY58,L$70,0)</f>
        <v>0</v>
      </c>
      <c r="M58" s="98" t="n">
        <f aca="false">IF(M$69=$BY58,M$70,0)</f>
        <v>0</v>
      </c>
      <c r="N58" s="99" t="n">
        <f aca="false">IF(N$69=$BY58,N$70,0)</f>
        <v>0</v>
      </c>
      <c r="O58" s="100" t="n">
        <f aca="false">IF(O$69=$BY58,O$70,0)</f>
        <v>0</v>
      </c>
      <c r="P58" s="101" t="n">
        <f aca="false">IF(P$69=$BY58,P$70,0)</f>
        <v>0</v>
      </c>
      <c r="Q58" s="101" t="n">
        <f aca="false">IF(Q$69=$BY58,Q$70,0)</f>
        <v>0</v>
      </c>
      <c r="R58" s="101" t="n">
        <f aca="false">IF(R$69=$BY58,R$70,0)</f>
        <v>0</v>
      </c>
      <c r="S58" s="101" t="n">
        <f aca="false">IF(S$69=$BY58,S$70,0)</f>
        <v>0</v>
      </c>
      <c r="T58" s="101" t="n">
        <f aca="false">IF(T$69=$BY58,T$70,0)</f>
        <v>0</v>
      </c>
      <c r="U58" s="101" t="n">
        <f aca="false">IF(U$69=$BY58,U$70,0)</f>
        <v>0</v>
      </c>
      <c r="V58" s="101" t="n">
        <f aca="false">IF(V$69=$BY58,V$70,0)</f>
        <v>0</v>
      </c>
      <c r="W58" s="101" t="n">
        <f aca="false">IF(W$69=$BY58,W$70,0)</f>
        <v>0</v>
      </c>
      <c r="X58" s="101" t="n">
        <f aca="false">IF(X$69=$BY58,X$70,0)</f>
        <v>0</v>
      </c>
      <c r="Y58" s="101" t="n">
        <f aca="false">IF(Y$69=$BY58,Y$70,0)</f>
        <v>0</v>
      </c>
      <c r="Z58" s="101" t="n">
        <f aca="false">IF(Z$69=$BY58,Z$70,0)</f>
        <v>0</v>
      </c>
      <c r="AA58" s="102" t="n">
        <f aca="false">IF(AA$69=$BY58,AA$70,0)</f>
        <v>0</v>
      </c>
      <c r="AB58" s="97" t="n">
        <f aca="false">IF(AB$69=$BY58,AB$70,0)</f>
        <v>0</v>
      </c>
      <c r="AC58" s="98" t="n">
        <f aca="false">IF(AC$69=$BY58,AC$70,0)</f>
        <v>0</v>
      </c>
      <c r="AD58" s="98" t="n">
        <f aca="false">IF(AD$69=$BY58,AD$70,0)</f>
        <v>0</v>
      </c>
      <c r="AE58" s="98" t="n">
        <f aca="false">IF(AE$69=$BY58,AE$70,0)</f>
        <v>0</v>
      </c>
      <c r="AF58" s="98" t="n">
        <f aca="false">IF(AF$69=$BY58,AF$70,0)</f>
        <v>0</v>
      </c>
      <c r="AG58" s="98" t="n">
        <f aca="false">IF(AG$69=$BY58,AG$70,0)</f>
        <v>0</v>
      </c>
      <c r="AH58" s="98" t="n">
        <f aca="false">IF(AH$69=$BY58,AH$70,0)</f>
        <v>0</v>
      </c>
      <c r="AI58" s="98" t="n">
        <f aca="false">IF(AI$69=$BY58,AI$70,0)</f>
        <v>0</v>
      </c>
      <c r="AJ58" s="98" t="n">
        <f aca="false">IF(AJ$69=$BY58,AJ$70,0)</f>
        <v>0</v>
      </c>
      <c r="AK58" s="98" t="n">
        <f aca="false">IF(AK$69=$BY58,AK$70,0)</f>
        <v>0</v>
      </c>
      <c r="AL58" s="98" t="n">
        <f aca="false">IF(AL$69=$BY58,AL$70,0)</f>
        <v>0</v>
      </c>
      <c r="AM58" s="98" t="n">
        <f aca="false">IF(AM$69=$BY58,AM$70,0)</f>
        <v>0</v>
      </c>
      <c r="AN58" s="99" t="n">
        <f aca="false">IF(AN$69=$BY58,AN$70,0)</f>
        <v>0</v>
      </c>
      <c r="AO58" s="100" t="n">
        <f aca="false">IF(AO$69=$BY58,AO$70,0)</f>
        <v>0.01107</v>
      </c>
      <c r="AP58" s="101" t="n">
        <f aca="false">IF(AP$69=$BY58,AP$70,0)</f>
        <v>0</v>
      </c>
      <c r="AQ58" s="101" t="n">
        <f aca="false">IF(AQ$69=$BY58,AQ$70,0)</f>
        <v>0</v>
      </c>
      <c r="AR58" s="101" t="n">
        <f aca="false">IF(AR$69=$BY58,AR$70,0)</f>
        <v>0</v>
      </c>
      <c r="AS58" s="101" t="n">
        <f aca="false">IF(AS$69=$BY58,AS$70,0)</f>
        <v>0</v>
      </c>
      <c r="AT58" s="101" t="n">
        <f aca="false">IF(AT$69=$BY58,AT$70,0)</f>
        <v>0</v>
      </c>
      <c r="AU58" s="101" t="n">
        <f aca="false">IF(AU$69=$BY58,AU$70,0)</f>
        <v>0</v>
      </c>
      <c r="AV58" s="101" t="n">
        <f aca="false">IF(AV$69=$BY58,AV$70,0)</f>
        <v>0</v>
      </c>
      <c r="AW58" s="101" t="n">
        <f aca="false">IF(AW$69=$BY58,AW$70,0)</f>
        <v>0</v>
      </c>
      <c r="AX58" s="101" t="n">
        <f aca="false">IF(AX$69=$BY58,AX$70,0)</f>
        <v>0</v>
      </c>
      <c r="AY58" s="101" t="n">
        <f aca="false">IF(AY$69=$BY58,AY$70,0)</f>
        <v>0</v>
      </c>
      <c r="AZ58" s="101" t="n">
        <f aca="false">IF(AZ$69=$BY58,AZ$70,0)</f>
        <v>0</v>
      </c>
      <c r="BA58" s="102" t="n">
        <f aca="false">IF(BA$69=$BY58,BA$70,0)</f>
        <v>0</v>
      </c>
      <c r="BB58" s="97" t="n">
        <f aca="false">IF(BB$69=$BY58,BB$70,0)</f>
        <v>0</v>
      </c>
      <c r="BC58" s="98" t="n">
        <f aca="false">IF(BC$69=$BY58,BC$70,0)</f>
        <v>0</v>
      </c>
      <c r="BD58" s="98" t="n">
        <f aca="false">IF(BD$69=$BY58,BD$70,0)</f>
        <v>0</v>
      </c>
      <c r="BE58" s="98" t="n">
        <f aca="false">IF(BE$69=$BY58,BE$70,0)</f>
        <v>0</v>
      </c>
      <c r="BF58" s="98" t="n">
        <f aca="false">IF(BF$69=$BY58,BF$70,0)</f>
        <v>0</v>
      </c>
      <c r="BG58" s="98" t="n">
        <f aca="false">IF(BG$69=$BY58,BG$70,0)</f>
        <v>0</v>
      </c>
      <c r="BH58" s="98" t="n">
        <f aca="false">IF(BH$69=$BY58,BH$70,0)</f>
        <v>0</v>
      </c>
      <c r="BI58" s="98" t="n">
        <f aca="false">IF(BI$69=$BY58,BI$70,0)</f>
        <v>0</v>
      </c>
      <c r="BJ58" s="98" t="n">
        <f aca="false">IF(BJ$69=$BY58,BJ$70,0)</f>
        <v>0</v>
      </c>
      <c r="BK58" s="98" t="n">
        <f aca="false">IF(BK$69=$BY58,BK$70,0)</f>
        <v>0</v>
      </c>
      <c r="BL58" s="98" t="n">
        <f aca="false">IF(BL$69=$BY58,BL$70,0)</f>
        <v>0</v>
      </c>
      <c r="BM58" s="98" t="n">
        <f aca="false">IF(BM$69=$BY58,BM$70,0)</f>
        <v>0</v>
      </c>
      <c r="BN58" s="99" t="n">
        <f aca="false">IF(BN$69=$BY58,BN$70,0)</f>
        <v>0</v>
      </c>
      <c r="BY58" s="4" t="n">
        <v>8</v>
      </c>
    </row>
    <row r="59" customFormat="false" ht="15.75" hidden="false" customHeight="true" outlineLevel="0" collapsed="false">
      <c r="A59" s="103" t="s">
        <v>97</v>
      </c>
      <c r="B59" s="97" t="n">
        <f aca="false">IF(B$69=$BY59,B$70,0)</f>
        <v>0</v>
      </c>
      <c r="C59" s="98" t="n">
        <f aca="false">IF(C$69=$BY59,C$70,0)</f>
        <v>0</v>
      </c>
      <c r="D59" s="98" t="n">
        <f aca="false">IF(D$69=$BY59,D$70,0)</f>
        <v>0</v>
      </c>
      <c r="E59" s="98" t="n">
        <f aca="false">IF(E$69=$BY59,E$70,0)</f>
        <v>0</v>
      </c>
      <c r="F59" s="98" t="n">
        <f aca="false">IF(F$69=$BY59,F$70,0)</f>
        <v>0</v>
      </c>
      <c r="G59" s="98" t="n">
        <f aca="false">IF(G$69=$BY59,G$70,0)</f>
        <v>0</v>
      </c>
      <c r="H59" s="98" t="n">
        <f aca="false">IF(H$69=$BY59,H$70,0)</f>
        <v>0</v>
      </c>
      <c r="I59" s="98" t="n">
        <f aca="false">IF(I$69=$BY59,I$70,0)</f>
        <v>0</v>
      </c>
      <c r="J59" s="98" t="n">
        <f aca="false">IF(J$69=$BY59,J$70,0)</f>
        <v>0</v>
      </c>
      <c r="K59" s="98" t="n">
        <f aca="false">IF(K$69=$BY59,K$70,0)</f>
        <v>0</v>
      </c>
      <c r="L59" s="98" t="n">
        <f aca="false">IF(L$69=$BY59,L$70,0)</f>
        <v>0</v>
      </c>
      <c r="M59" s="98" t="n">
        <f aca="false">IF(M$69=$BY59,M$70,0)</f>
        <v>0</v>
      </c>
      <c r="N59" s="99" t="n">
        <f aca="false">IF(N$69=$BY59,N$70,0)</f>
        <v>0</v>
      </c>
      <c r="O59" s="100" t="n">
        <f aca="false">IF(O$69=$BY59,O$70,0)</f>
        <v>0</v>
      </c>
      <c r="P59" s="101" t="n">
        <f aca="false">IF(P$69=$BY59,P$70,0)</f>
        <v>0</v>
      </c>
      <c r="Q59" s="101" t="n">
        <f aca="false">IF(Q$69=$BY59,Q$70,0)</f>
        <v>0</v>
      </c>
      <c r="R59" s="101" t="n">
        <f aca="false">IF(R$69=$BY59,R$70,0)</f>
        <v>0</v>
      </c>
      <c r="S59" s="101" t="n">
        <f aca="false">IF(S$69=$BY59,S$70,0)</f>
        <v>0</v>
      </c>
      <c r="T59" s="101" t="n">
        <f aca="false">IF(T$69=$BY59,T$70,0)</f>
        <v>0</v>
      </c>
      <c r="U59" s="101" t="n">
        <f aca="false">IF(U$69=$BY59,U$70,0)</f>
        <v>0</v>
      </c>
      <c r="V59" s="101" t="n">
        <f aca="false">IF(V$69=$BY59,V$70,0)</f>
        <v>0</v>
      </c>
      <c r="W59" s="101" t="n">
        <f aca="false">IF(W$69=$BY59,W$70,0)</f>
        <v>0</v>
      </c>
      <c r="X59" s="101" t="n">
        <f aca="false">IF(X$69=$BY59,X$70,0)</f>
        <v>0</v>
      </c>
      <c r="Y59" s="101" t="n">
        <f aca="false">IF(Y$69=$BY59,Y$70,0)</f>
        <v>0</v>
      </c>
      <c r="Z59" s="101" t="n">
        <f aca="false">IF(Z$69=$BY59,Z$70,0)</f>
        <v>0</v>
      </c>
      <c r="AA59" s="102" t="n">
        <f aca="false">IF(AA$69=$BY59,AA$70,0)</f>
        <v>0</v>
      </c>
      <c r="AB59" s="97" t="n">
        <f aca="false">IF(AB$69=$BY59,AB$70,0)</f>
        <v>0</v>
      </c>
      <c r="AC59" s="98" t="n">
        <f aca="false">IF(AC$69=$BY59,AC$70,0)</f>
        <v>0</v>
      </c>
      <c r="AD59" s="98" t="n">
        <f aca="false">IF(AD$69=$BY59,AD$70,0)</f>
        <v>0.00501478798721726</v>
      </c>
      <c r="AE59" s="98" t="n">
        <f aca="false">IF(AE$69=$BY59,AE$70,0)</f>
        <v>0</v>
      </c>
      <c r="AF59" s="98" t="n">
        <f aca="false">IF(AF$69=$BY59,AF$70,0)</f>
        <v>0</v>
      </c>
      <c r="AG59" s="98" t="n">
        <f aca="false">IF(AG$69=$BY59,AG$70,0)</f>
        <v>0</v>
      </c>
      <c r="AH59" s="98" t="n">
        <f aca="false">IF(AH$69=$BY59,AH$70,0)</f>
        <v>0.00462</v>
      </c>
      <c r="AI59" s="98" t="n">
        <f aca="false">IF(AI$69=$BY59,AI$70,0)</f>
        <v>0</v>
      </c>
      <c r="AJ59" s="98" t="n">
        <f aca="false">IF(AJ$69=$BY59,AJ$70,0)</f>
        <v>0</v>
      </c>
      <c r="AK59" s="98" t="n">
        <f aca="false">IF(AK$69=$BY59,AK$70,0)</f>
        <v>0</v>
      </c>
      <c r="AL59" s="98" t="n">
        <f aca="false">IF(AL$69=$BY59,AL$70,0)</f>
        <v>0</v>
      </c>
      <c r="AM59" s="98" t="n">
        <f aca="false">IF(AM$69=$BY59,AM$70,0)</f>
        <v>0</v>
      </c>
      <c r="AN59" s="99" t="n">
        <f aca="false">IF(AN$69=$BY59,AN$70,0)</f>
        <v>0</v>
      </c>
      <c r="AO59" s="100" t="n">
        <f aca="false">IF(AO$69=$BY59,AO$70,0)</f>
        <v>0</v>
      </c>
      <c r="AP59" s="101" t="n">
        <f aca="false">IF(AP$69=$BY59,AP$70,0)</f>
        <v>0</v>
      </c>
      <c r="AQ59" s="101" t="n">
        <f aca="false">IF(AQ$69=$BY59,AQ$70,0)</f>
        <v>0</v>
      </c>
      <c r="AR59" s="101" t="n">
        <f aca="false">IF(AR$69=$BY59,AR$70,0)</f>
        <v>0</v>
      </c>
      <c r="AS59" s="101" t="n">
        <f aca="false">IF(AS$69=$BY59,AS$70,0)</f>
        <v>0</v>
      </c>
      <c r="AT59" s="101" t="n">
        <f aca="false">IF(AT$69=$BY59,AT$70,0)</f>
        <v>0</v>
      </c>
      <c r="AU59" s="101" t="n">
        <f aca="false">IF(AU$69=$BY59,AU$70,0)</f>
        <v>0</v>
      </c>
      <c r="AV59" s="101" t="n">
        <f aca="false">IF(AV$69=$BY59,AV$70,0)</f>
        <v>0</v>
      </c>
      <c r="AW59" s="101" t="n">
        <f aca="false">IF(AW$69=$BY59,AW$70,0)</f>
        <v>0</v>
      </c>
      <c r="AX59" s="101" t="n">
        <f aca="false">IF(AX$69=$BY59,AX$70,0)</f>
        <v>0</v>
      </c>
      <c r="AY59" s="101" t="n">
        <f aca="false">IF(AY$69=$BY59,AY$70,0)</f>
        <v>0</v>
      </c>
      <c r="AZ59" s="101" t="n">
        <f aca="false">IF(AZ$69=$BY59,AZ$70,0)</f>
        <v>0</v>
      </c>
      <c r="BA59" s="102" t="n">
        <f aca="false">IF(BA$69=$BY59,BA$70,0)</f>
        <v>0</v>
      </c>
      <c r="BB59" s="97" t="n">
        <f aca="false">IF(BB$69=$BY59,BB$70,0)</f>
        <v>0.00636</v>
      </c>
      <c r="BC59" s="98" t="n">
        <f aca="false">IF(BC$69=$BY59,BC$70,0)</f>
        <v>0</v>
      </c>
      <c r="BD59" s="98" t="n">
        <f aca="false">IF(BD$69=$BY59,BD$70,0)</f>
        <v>0</v>
      </c>
      <c r="BE59" s="98" t="n">
        <f aca="false">IF(BE$69=$BY59,BE$70,0)</f>
        <v>0</v>
      </c>
      <c r="BF59" s="98" t="n">
        <f aca="false">IF(BF$69=$BY59,BF$70,0)</f>
        <v>0</v>
      </c>
      <c r="BG59" s="98" t="n">
        <f aca="false">IF(BG$69=$BY59,BG$70,0)</f>
        <v>0</v>
      </c>
      <c r="BH59" s="98" t="n">
        <f aca="false">IF(BH$69=$BY59,BH$70,0)</f>
        <v>0</v>
      </c>
      <c r="BI59" s="98" t="n">
        <f aca="false">IF(BI$69=$BY59,BI$70,0)</f>
        <v>0</v>
      </c>
      <c r="BJ59" s="98" t="n">
        <f aca="false">IF(BJ$69=$BY59,BJ$70,0)</f>
        <v>0</v>
      </c>
      <c r="BK59" s="98" t="n">
        <f aca="false">IF(BK$69=$BY59,BK$70,0)</f>
        <v>0</v>
      </c>
      <c r="BL59" s="98" t="n">
        <f aca="false">IF(BL$69=$BY59,BL$70,0)</f>
        <v>0</v>
      </c>
      <c r="BM59" s="98" t="n">
        <f aca="false">IF(BM$69=$BY59,BM$70,0)</f>
        <v>0</v>
      </c>
      <c r="BN59" s="99" t="n">
        <f aca="false">IF(BN$69=$BY59,BN$70,0)</f>
        <v>0</v>
      </c>
      <c r="BY59" s="4" t="n">
        <v>9</v>
      </c>
    </row>
    <row r="60" customFormat="false" ht="15.75" hidden="false" customHeight="true" outlineLevel="0" collapsed="false">
      <c r="A60" s="103" t="s">
        <v>98</v>
      </c>
      <c r="B60" s="97" t="n">
        <f aca="false">IF(B$69=$BY60,B$70,0)</f>
        <v>0</v>
      </c>
      <c r="C60" s="98" t="n">
        <f aca="false">IF(C$69=$BY60,C$70,0)</f>
        <v>0</v>
      </c>
      <c r="D60" s="98" t="n">
        <f aca="false">IF(D$69=$BY60,D$70,0)</f>
        <v>0</v>
      </c>
      <c r="E60" s="98" t="n">
        <f aca="false">IF(E$69=$BY60,E$70,0)</f>
        <v>0</v>
      </c>
      <c r="F60" s="98" t="n">
        <f aca="false">IF(F$69=$BY60,F$70,0)</f>
        <v>0</v>
      </c>
      <c r="G60" s="98" t="n">
        <f aca="false">IF(G$69=$BY60,G$70,0)</f>
        <v>0</v>
      </c>
      <c r="H60" s="98" t="n">
        <f aca="false">IF(H$69=$BY60,H$70,0)</f>
        <v>0</v>
      </c>
      <c r="I60" s="98" t="n">
        <f aca="false">IF(I$69=$BY60,I$70,0)</f>
        <v>0</v>
      </c>
      <c r="J60" s="98" t="n">
        <f aca="false">IF(J$69=$BY60,J$70,0)</f>
        <v>0</v>
      </c>
      <c r="K60" s="98" t="n">
        <f aca="false">IF(K$69=$BY60,K$70,0)</f>
        <v>0</v>
      </c>
      <c r="L60" s="98" t="n">
        <f aca="false">IF(L$69=$BY60,L$70,0)</f>
        <v>0</v>
      </c>
      <c r="M60" s="98" t="n">
        <f aca="false">IF(M$69=$BY60,M$70,0)</f>
        <v>0</v>
      </c>
      <c r="N60" s="99" t="n">
        <f aca="false">IF(N$69=$BY60,N$70,0)</f>
        <v>0</v>
      </c>
      <c r="O60" s="100" t="n">
        <f aca="false">IF(O$69=$BY60,O$70,0)</f>
        <v>0</v>
      </c>
      <c r="P60" s="101" t="n">
        <f aca="false">IF(P$69=$BY60,P$70,0)</f>
        <v>0</v>
      </c>
      <c r="Q60" s="101" t="n">
        <f aca="false">IF(Q$69=$BY60,Q$70,0)</f>
        <v>0</v>
      </c>
      <c r="R60" s="101" t="n">
        <f aca="false">IF(R$69=$BY60,R$70,0)</f>
        <v>0</v>
      </c>
      <c r="S60" s="101" t="n">
        <f aca="false">IF(S$69=$BY60,S$70,0)</f>
        <v>0</v>
      </c>
      <c r="T60" s="101" t="n">
        <f aca="false">IF(T$69=$BY60,T$70,0)</f>
        <v>0</v>
      </c>
      <c r="U60" s="101" t="n">
        <f aca="false">IF(U$69=$BY60,U$70,0)</f>
        <v>0</v>
      </c>
      <c r="V60" s="101" t="n">
        <f aca="false">IF(V$69=$BY60,V$70,0)</f>
        <v>0</v>
      </c>
      <c r="W60" s="101" t="n">
        <f aca="false">IF(W$69=$BY60,W$70,0)</f>
        <v>0</v>
      </c>
      <c r="X60" s="101" t="n">
        <f aca="false">IF(X$69=$BY60,X$70,0)</f>
        <v>0</v>
      </c>
      <c r="Y60" s="101" t="n">
        <f aca="false">IF(Y$69=$BY60,Y$70,0)</f>
        <v>0</v>
      </c>
      <c r="Z60" s="101" t="n">
        <f aca="false">IF(Z$69=$BY60,Z$70,0)</f>
        <v>0</v>
      </c>
      <c r="AA60" s="102" t="n">
        <f aca="false">IF(AA$69=$BY60,AA$70,0)</f>
        <v>0.00973</v>
      </c>
      <c r="AB60" s="97" t="n">
        <f aca="false">IF(AB$69=$BY60,AB$70,0)</f>
        <v>0</v>
      </c>
      <c r="AC60" s="98" t="n">
        <f aca="false">IF(AC$69=$BY60,AC$70,0)</f>
        <v>0</v>
      </c>
      <c r="AD60" s="98" t="n">
        <f aca="false">IF(AD$69=$BY60,AD$70,0)</f>
        <v>0</v>
      </c>
      <c r="AE60" s="98" t="n">
        <f aca="false">IF(AE$69=$BY60,AE$70,0)</f>
        <v>0</v>
      </c>
      <c r="AF60" s="98" t="n">
        <f aca="false">IF(AF$69=$BY60,AF$70,0)</f>
        <v>0</v>
      </c>
      <c r="AG60" s="98" t="n">
        <f aca="false">IF(AG$69=$BY60,AG$70,0)</f>
        <v>0</v>
      </c>
      <c r="AH60" s="98" t="n">
        <f aca="false">IF(AH$69=$BY60,AH$70,0)</f>
        <v>0</v>
      </c>
      <c r="AI60" s="98" t="n">
        <f aca="false">IF(AI$69=$BY60,AI$70,0)</f>
        <v>0</v>
      </c>
      <c r="AJ60" s="98" t="n">
        <f aca="false">IF(AJ$69=$BY60,AJ$70,0)</f>
        <v>0</v>
      </c>
      <c r="AK60" s="98" t="n">
        <f aca="false">IF(AK$69=$BY60,AK$70,0)</f>
        <v>0</v>
      </c>
      <c r="AL60" s="98" t="n">
        <f aca="false">IF(AL$69=$BY60,AL$70,0)</f>
        <v>0</v>
      </c>
      <c r="AM60" s="98" t="n">
        <f aca="false">IF(AM$69=$BY60,AM$70,0)</f>
        <v>0</v>
      </c>
      <c r="AN60" s="99" t="n">
        <f aca="false">IF(AN$69=$BY60,AN$70,0)</f>
        <v>0</v>
      </c>
      <c r="AO60" s="100" t="n">
        <f aca="false">IF(AO$69=$BY60,AO$70,0)</f>
        <v>0</v>
      </c>
      <c r="AP60" s="101" t="n">
        <f aca="false">IF(AP$69=$BY60,AP$70,0)</f>
        <v>0</v>
      </c>
      <c r="AQ60" s="101" t="n">
        <f aca="false">IF(AQ$69=$BY60,AQ$70,0)</f>
        <v>0</v>
      </c>
      <c r="AR60" s="101" t="n">
        <f aca="false">IF(AR$69=$BY60,AR$70,0)</f>
        <v>0</v>
      </c>
      <c r="AS60" s="101" t="n">
        <f aca="false">IF(AS$69=$BY60,AS$70,0)</f>
        <v>0</v>
      </c>
      <c r="AT60" s="101" t="n">
        <f aca="false">IF(AT$69=$BY60,AT$70,0)</f>
        <v>0</v>
      </c>
      <c r="AU60" s="101" t="n">
        <f aca="false">IF(AU$69=$BY60,AU$70,0)</f>
        <v>0</v>
      </c>
      <c r="AV60" s="101" t="n">
        <f aca="false">IF(AV$69=$BY60,AV$70,0)</f>
        <v>0</v>
      </c>
      <c r="AW60" s="101" t="n">
        <f aca="false">IF(AW$69=$BY60,AW$70,0)</f>
        <v>0</v>
      </c>
      <c r="AX60" s="101" t="n">
        <f aca="false">IF(AX$69=$BY60,AX$70,0)</f>
        <v>0</v>
      </c>
      <c r="AY60" s="101" t="n">
        <f aca="false">IF(AY$69=$BY60,AY$70,0)</f>
        <v>0</v>
      </c>
      <c r="AZ60" s="101" t="n">
        <f aca="false">IF(AZ$69=$BY60,AZ$70,0)</f>
        <v>0</v>
      </c>
      <c r="BA60" s="102" t="n">
        <f aca="false">IF(BA$69=$BY60,BA$70,0)</f>
        <v>0</v>
      </c>
      <c r="BB60" s="97" t="n">
        <f aca="false">IF(BB$69=$BY60,BB$70,0)</f>
        <v>0</v>
      </c>
      <c r="BC60" s="98" t="n">
        <f aca="false">IF(BC$69=$BY60,BC$70,0)</f>
        <v>0</v>
      </c>
      <c r="BD60" s="98" t="n">
        <f aca="false">IF(BD$69=$BY60,BD$70,0)</f>
        <v>0</v>
      </c>
      <c r="BE60" s="98" t="n">
        <f aca="false">IF(BE$69=$BY60,BE$70,0)</f>
        <v>0</v>
      </c>
      <c r="BF60" s="98" t="n">
        <f aca="false">IF(BF$69=$BY60,BF$70,0)</f>
        <v>0</v>
      </c>
      <c r="BG60" s="98" t="n">
        <f aca="false">IF(BG$69=$BY60,BG$70,0)</f>
        <v>0</v>
      </c>
      <c r="BH60" s="98" t="n">
        <f aca="false">IF(BH$69=$BY60,BH$70,0)</f>
        <v>0</v>
      </c>
      <c r="BI60" s="98" t="n">
        <f aca="false">IF(BI$69=$BY60,BI$70,0)</f>
        <v>0</v>
      </c>
      <c r="BJ60" s="98" t="n">
        <f aca="false">IF(BJ$69=$BY60,BJ$70,0)</f>
        <v>0</v>
      </c>
      <c r="BK60" s="98" t="n">
        <f aca="false">IF(BK$69=$BY60,BK$70,0)</f>
        <v>0</v>
      </c>
      <c r="BL60" s="98" t="n">
        <f aca="false">IF(BL$69=$BY60,BL$70,0)</f>
        <v>0</v>
      </c>
      <c r="BM60" s="98" t="n">
        <f aca="false">IF(BM$69=$BY60,BM$70,0)</f>
        <v>0</v>
      </c>
      <c r="BN60" s="99" t="n">
        <f aca="false">IF(BN$69=$BY60,BN$70,0)</f>
        <v>0</v>
      </c>
      <c r="BY60" s="4" t="n">
        <v>10</v>
      </c>
    </row>
    <row r="61" customFormat="false" ht="15.75" hidden="false" customHeight="true" outlineLevel="0" collapsed="false">
      <c r="A61" s="103" t="s">
        <v>99</v>
      </c>
      <c r="B61" s="97" t="n">
        <f aca="false">IF(B$69=$BY61,B$70,0)</f>
        <v>0</v>
      </c>
      <c r="C61" s="98" t="n">
        <f aca="false">IF(C$69=$BY61,C$70,0)</f>
        <v>0</v>
      </c>
      <c r="D61" s="98" t="n">
        <f aca="false">IF(D$69=$BY61,D$70,0)</f>
        <v>0</v>
      </c>
      <c r="E61" s="98" t="n">
        <f aca="false">IF(E$69=$BY61,E$70,0)</f>
        <v>0</v>
      </c>
      <c r="F61" s="98" t="n">
        <f aca="false">IF(F$69=$BY61,F$70,0)</f>
        <v>0</v>
      </c>
      <c r="G61" s="98" t="n">
        <f aca="false">IF(G$69=$BY61,G$70,0)</f>
        <v>0</v>
      </c>
      <c r="H61" s="98" t="n">
        <f aca="false">IF(H$69=$BY61,H$70,0)</f>
        <v>0</v>
      </c>
      <c r="I61" s="98" t="n">
        <f aca="false">IF(I$69=$BY61,I$70,0)</f>
        <v>0</v>
      </c>
      <c r="J61" s="98" t="n">
        <f aca="false">IF(J$69=$BY61,J$70,0)</f>
        <v>0</v>
      </c>
      <c r="K61" s="98" t="n">
        <f aca="false">IF(K$69=$BY61,K$70,0)</f>
        <v>0</v>
      </c>
      <c r="L61" s="98" t="n">
        <f aca="false">IF(L$69=$BY61,L$70,0)</f>
        <v>0</v>
      </c>
      <c r="M61" s="98" t="n">
        <f aca="false">IF(M$69=$BY61,M$70,0)</f>
        <v>0</v>
      </c>
      <c r="N61" s="99" t="n">
        <f aca="false">IF(N$69=$BY61,N$70,0)</f>
        <v>0</v>
      </c>
      <c r="O61" s="100" t="n">
        <f aca="false">IF(O$69=$BY61,O$70,0)</f>
        <v>0</v>
      </c>
      <c r="P61" s="101" t="n">
        <f aca="false">IF(P$69=$BY61,P$70,0)</f>
        <v>0</v>
      </c>
      <c r="Q61" s="101" t="n">
        <f aca="false">IF(Q$69=$BY61,Q$70,0)</f>
        <v>0</v>
      </c>
      <c r="R61" s="101" t="n">
        <f aca="false">IF(R$69=$BY61,R$70,0)</f>
        <v>0</v>
      </c>
      <c r="S61" s="101" t="n">
        <f aca="false">IF(S$69=$BY61,S$70,0)</f>
        <v>0</v>
      </c>
      <c r="T61" s="101" t="n">
        <f aca="false">IF(T$69=$BY61,T$70,0)</f>
        <v>0</v>
      </c>
      <c r="U61" s="101" t="n">
        <f aca="false">IF(U$69=$BY61,U$70,0)</f>
        <v>0</v>
      </c>
      <c r="V61" s="101" t="n">
        <f aca="false">IF(V$69=$BY61,V$70,0)</f>
        <v>0</v>
      </c>
      <c r="W61" s="101" t="n">
        <f aca="false">IF(W$69=$BY61,W$70,0)</f>
        <v>0</v>
      </c>
      <c r="X61" s="101" t="n">
        <f aca="false">IF(X$69=$BY61,X$70,0)</f>
        <v>0</v>
      </c>
      <c r="Y61" s="101" t="n">
        <f aca="false">IF(Y$69=$BY61,Y$70,0)</f>
        <v>0</v>
      </c>
      <c r="Z61" s="101" t="n">
        <f aca="false">IF(Z$69=$BY61,Z$70,0)</f>
        <v>0</v>
      </c>
      <c r="AA61" s="102" t="n">
        <f aca="false">IF(AA$69=$BY61,AA$70,0)</f>
        <v>0</v>
      </c>
      <c r="AB61" s="97" t="n">
        <f aca="false">IF(AB$69=$BY61,AB$70,0)</f>
        <v>0</v>
      </c>
      <c r="AC61" s="98" t="n">
        <f aca="false">IF(AC$69=$BY61,AC$70,0)</f>
        <v>0</v>
      </c>
      <c r="AD61" s="98" t="n">
        <f aca="false">IF(AD$69=$BY61,AD$70,0)</f>
        <v>0</v>
      </c>
      <c r="AE61" s="98" t="n">
        <f aca="false">IF(AE$69=$BY61,AE$70,0)</f>
        <v>0</v>
      </c>
      <c r="AF61" s="98" t="n">
        <f aca="false">IF(AF$69=$BY61,AF$70,0)</f>
        <v>0</v>
      </c>
      <c r="AG61" s="98" t="n">
        <f aca="false">IF(AG$69=$BY61,AG$70,0)</f>
        <v>0</v>
      </c>
      <c r="AH61" s="98" t="n">
        <f aca="false">IF(AH$69=$BY61,AH$70,0)</f>
        <v>0</v>
      </c>
      <c r="AI61" s="98" t="n">
        <f aca="false">IF(AI$69=$BY61,AI$70,0)</f>
        <v>0</v>
      </c>
      <c r="AJ61" s="98" t="n">
        <f aca="false">IF(AJ$69=$BY61,AJ$70,0)</f>
        <v>0</v>
      </c>
      <c r="AK61" s="98" t="n">
        <f aca="false">IF(AK$69=$BY61,AK$70,0)</f>
        <v>0</v>
      </c>
      <c r="AL61" s="98" t="n">
        <f aca="false">IF(AL$69=$BY61,AL$70,0)</f>
        <v>0</v>
      </c>
      <c r="AM61" s="98" t="n">
        <f aca="false">IF(AM$69=$BY61,AM$70,0)</f>
        <v>0</v>
      </c>
      <c r="AN61" s="99" t="n">
        <f aca="false">IF(AN$69=$BY61,AN$70,0)</f>
        <v>0</v>
      </c>
      <c r="AO61" s="100" t="n">
        <f aca="false">IF(AO$69=$BY61,AO$70,0)</f>
        <v>0</v>
      </c>
      <c r="AP61" s="101" t="n">
        <f aca="false">IF(AP$69=$BY61,AP$70,0)</f>
        <v>0</v>
      </c>
      <c r="AQ61" s="101" t="n">
        <f aca="false">IF(AQ$69=$BY61,AQ$70,0)</f>
        <v>0</v>
      </c>
      <c r="AR61" s="101" t="n">
        <f aca="false">IF(AR$69=$BY61,AR$70,0)</f>
        <v>0</v>
      </c>
      <c r="AS61" s="101" t="n">
        <f aca="false">IF(AS$69=$BY61,AS$70,0)</f>
        <v>0</v>
      </c>
      <c r="AT61" s="101" t="n">
        <f aca="false">IF(AT$69=$BY61,AT$70,0)</f>
        <v>0</v>
      </c>
      <c r="AU61" s="101" t="n">
        <f aca="false">IF(AU$69=$BY61,AU$70,0)</f>
        <v>0</v>
      </c>
      <c r="AV61" s="101" t="n">
        <f aca="false">IF(AV$69=$BY61,AV$70,0)</f>
        <v>0</v>
      </c>
      <c r="AW61" s="101" t="n">
        <f aca="false">IF(AW$69=$BY61,AW$70,0)</f>
        <v>0</v>
      </c>
      <c r="AX61" s="101" t="n">
        <f aca="false">IF(AX$69=$BY61,AX$70,0)</f>
        <v>0</v>
      </c>
      <c r="AY61" s="101" t="n">
        <f aca="false">IF(AY$69=$BY61,AY$70,0)</f>
        <v>0</v>
      </c>
      <c r="AZ61" s="101" t="n">
        <f aca="false">IF(AZ$69=$BY61,AZ$70,0)</f>
        <v>0</v>
      </c>
      <c r="BA61" s="102" t="n">
        <f aca="false">IF(BA$69=$BY61,BA$70,0)</f>
        <v>0</v>
      </c>
      <c r="BB61" s="97" t="n">
        <f aca="false">IF(BB$69=$BY61,BB$70,0)</f>
        <v>0</v>
      </c>
      <c r="BC61" s="98" t="n">
        <f aca="false">IF(BC$69=$BY61,BC$70,0)</f>
        <v>0</v>
      </c>
      <c r="BD61" s="98" t="n">
        <f aca="false">IF(BD$69=$BY61,BD$70,0)</f>
        <v>0</v>
      </c>
      <c r="BE61" s="98" t="n">
        <f aca="false">IF(BE$69=$BY61,BE$70,0)</f>
        <v>0</v>
      </c>
      <c r="BF61" s="98" t="n">
        <f aca="false">IF(BF$69=$BY61,BF$70,0)</f>
        <v>0</v>
      </c>
      <c r="BG61" s="98" t="n">
        <f aca="false">IF(BG$69=$BY61,BG$70,0)</f>
        <v>0</v>
      </c>
      <c r="BH61" s="98" t="n">
        <f aca="false">IF(BH$69=$BY61,BH$70,0)</f>
        <v>0</v>
      </c>
      <c r="BI61" s="98" t="n">
        <f aca="false">IF(BI$69=$BY61,BI$70,0)</f>
        <v>0</v>
      </c>
      <c r="BJ61" s="98" t="n">
        <f aca="false">IF(BJ$69=$BY61,BJ$70,0)</f>
        <v>0</v>
      </c>
      <c r="BK61" s="98" t="n">
        <f aca="false">IF(BK$69=$BY61,BK$70,0)</f>
        <v>0</v>
      </c>
      <c r="BL61" s="98" t="n">
        <f aca="false">IF(BL$69=$BY61,BL$70,0)</f>
        <v>0</v>
      </c>
      <c r="BM61" s="98" t="n">
        <f aca="false">IF(BM$69=$BY61,BM$70,0)</f>
        <v>0</v>
      </c>
      <c r="BN61" s="99" t="n">
        <f aca="false">IF(BN$69=$BY61,BN$70,0)</f>
        <v>0</v>
      </c>
      <c r="BY61" s="4" t="n">
        <v>11</v>
      </c>
    </row>
    <row r="62" customFormat="false" ht="15.75" hidden="false" customHeight="true" outlineLevel="0" collapsed="false">
      <c r="A62" s="103" t="s">
        <v>100</v>
      </c>
      <c r="B62" s="97" t="n">
        <f aca="false">IF(B$69=$BY62,B$70,0)</f>
        <v>0</v>
      </c>
      <c r="C62" s="98" t="n">
        <f aca="false">IF(C$69=$BY62,C$70,0)</f>
        <v>0</v>
      </c>
      <c r="D62" s="98" t="n">
        <f aca="false">IF(D$69=$BY62,D$70,0)</f>
        <v>0</v>
      </c>
      <c r="E62" s="98" t="n">
        <f aca="false">IF(E$69=$BY62,E$70,0)</f>
        <v>0</v>
      </c>
      <c r="F62" s="98" t="n">
        <f aca="false">IF(F$69=$BY62,F$70,0)</f>
        <v>0</v>
      </c>
      <c r="G62" s="98" t="n">
        <f aca="false">IF(G$69=$BY62,G$70,0)</f>
        <v>0</v>
      </c>
      <c r="H62" s="98" t="n">
        <f aca="false">IF(H$69=$BY62,H$70,0)</f>
        <v>0</v>
      </c>
      <c r="I62" s="98" t="n">
        <f aca="false">IF(I$69=$BY62,I$70,0)</f>
        <v>0</v>
      </c>
      <c r="J62" s="98" t="n">
        <f aca="false">IF(J$69=$BY62,J$70,0)</f>
        <v>0.01525</v>
      </c>
      <c r="K62" s="98" t="n">
        <f aca="false">IF(K$69=$BY62,K$70,0)</f>
        <v>0.01328</v>
      </c>
      <c r="L62" s="98" t="n">
        <f aca="false">IF(L$69=$BY62,L$70,0)</f>
        <v>0.01328</v>
      </c>
      <c r="M62" s="98" t="n">
        <f aca="false">IF(M$69=$BY62,M$70,0)</f>
        <v>0</v>
      </c>
      <c r="N62" s="99" t="n">
        <f aca="false">IF(N$69=$BY62,N$70,0)</f>
        <v>0.00375</v>
      </c>
      <c r="O62" s="100" t="n">
        <f aca="false">IF(O$69=$BY62,O$70,0)</f>
        <v>0</v>
      </c>
      <c r="P62" s="101" t="n">
        <f aca="false">IF(P$69=$BY62,P$70,0)</f>
        <v>0</v>
      </c>
      <c r="Q62" s="101" t="n">
        <f aca="false">IF(Q$69=$BY62,Q$70,0)</f>
        <v>0</v>
      </c>
      <c r="R62" s="101" t="n">
        <f aca="false">IF(R$69=$BY62,R$70,0)</f>
        <v>0</v>
      </c>
      <c r="S62" s="101" t="n">
        <f aca="false">IF(S$69=$BY62,S$70,0)</f>
        <v>0</v>
      </c>
      <c r="T62" s="101" t="n">
        <f aca="false">IF(T$69=$BY62,T$70,0)</f>
        <v>0.00836</v>
      </c>
      <c r="U62" s="101" t="n">
        <f aca="false">IF(U$69=$BY62,U$70,0)</f>
        <v>0</v>
      </c>
      <c r="V62" s="101" t="n">
        <f aca="false">IF(V$69=$BY62,V$70,0)</f>
        <v>0.00882</v>
      </c>
      <c r="W62" s="101" t="n">
        <f aca="false">IF(W$69=$BY62,W$70,0)</f>
        <v>0</v>
      </c>
      <c r="X62" s="101" t="n">
        <f aca="false">IF(X$69=$BY62,X$70,0)</f>
        <v>0</v>
      </c>
      <c r="Y62" s="101" t="n">
        <f aca="false">IF(Y$69=$BY62,Y$70,0)</f>
        <v>0</v>
      </c>
      <c r="Z62" s="101" t="n">
        <f aca="false">IF(Z$69=$BY62,Z$70,0)</f>
        <v>0</v>
      </c>
      <c r="AA62" s="102" t="n">
        <f aca="false">IF(AA$69=$BY62,AA$70,0)</f>
        <v>0</v>
      </c>
      <c r="AB62" s="97" t="n">
        <f aca="false">IF(AB$69=$BY62,AB$70,0)</f>
        <v>0</v>
      </c>
      <c r="AC62" s="98" t="n">
        <f aca="false">IF(AC$69=$BY62,AC$70,0)</f>
        <v>0</v>
      </c>
      <c r="AD62" s="98" t="n">
        <f aca="false">IF(AD$69=$BY62,AD$70,0)</f>
        <v>0</v>
      </c>
      <c r="AE62" s="98" t="n">
        <f aca="false">IF(AE$69=$BY62,AE$70,0)</f>
        <v>0</v>
      </c>
      <c r="AF62" s="98" t="n">
        <f aca="false">IF(AF$69=$BY62,AF$70,0)</f>
        <v>0</v>
      </c>
      <c r="AG62" s="98" t="n">
        <f aca="false">IF(AG$69=$BY62,AG$70,0)</f>
        <v>0</v>
      </c>
      <c r="AH62" s="98" t="n">
        <f aca="false">IF(AH$69=$BY62,AH$70,0)</f>
        <v>0</v>
      </c>
      <c r="AI62" s="98" t="n">
        <f aca="false">IF(AI$69=$BY62,AI$70,0)</f>
        <v>0</v>
      </c>
      <c r="AJ62" s="98" t="n">
        <f aca="false">IF(AJ$69=$BY62,AJ$70,0)</f>
        <v>0</v>
      </c>
      <c r="AK62" s="98" t="n">
        <f aca="false">IF(AK$69=$BY62,AK$70,0)</f>
        <v>0</v>
      </c>
      <c r="AL62" s="98" t="n">
        <f aca="false">IF(AL$69=$BY62,AL$70,0)</f>
        <v>0</v>
      </c>
      <c r="AM62" s="98" t="n">
        <f aca="false">IF(AM$69=$BY62,AM$70,0)</f>
        <v>0</v>
      </c>
      <c r="AN62" s="99" t="n">
        <f aca="false">IF(AN$69=$BY62,AN$70,0)</f>
        <v>0</v>
      </c>
      <c r="AO62" s="100" t="n">
        <f aca="false">IF(AO$69=$BY62,AO$70,0)</f>
        <v>0</v>
      </c>
      <c r="AP62" s="101" t="n">
        <f aca="false">IF(AP$69=$BY62,AP$70,0)</f>
        <v>0</v>
      </c>
      <c r="AQ62" s="101" t="n">
        <f aca="false">IF(AQ$69=$BY62,AQ$70,0)</f>
        <v>0</v>
      </c>
      <c r="AR62" s="101" t="n">
        <f aca="false">IF(AR$69=$BY62,AR$70,0)</f>
        <v>0</v>
      </c>
      <c r="AS62" s="101" t="n">
        <f aca="false">IF(AS$69=$BY62,AS$70,0)</f>
        <v>0</v>
      </c>
      <c r="AT62" s="101" t="n">
        <f aca="false">IF(AT$69=$BY62,AT$70,0)</f>
        <v>0</v>
      </c>
      <c r="AU62" s="101" t="n">
        <f aca="false">IF(AU$69=$BY62,AU$70,0)</f>
        <v>0</v>
      </c>
      <c r="AV62" s="101" t="n">
        <f aca="false">IF(AV$69=$BY62,AV$70,0)</f>
        <v>0</v>
      </c>
      <c r="AW62" s="101" t="n">
        <f aca="false">IF(AW$69=$BY62,AW$70,0)</f>
        <v>0</v>
      </c>
      <c r="AX62" s="101" t="n">
        <f aca="false">IF(AX$69=$BY62,AX$70,0)</f>
        <v>0</v>
      </c>
      <c r="AY62" s="101" t="n">
        <f aca="false">IF(AY$69=$BY62,AY$70,0)</f>
        <v>0</v>
      </c>
      <c r="AZ62" s="101" t="n">
        <f aca="false">IF(AZ$69=$BY62,AZ$70,0)</f>
        <v>0</v>
      </c>
      <c r="BA62" s="102" t="n">
        <f aca="false">IF(BA$69=$BY62,BA$70,0)</f>
        <v>0</v>
      </c>
      <c r="BB62" s="97" t="n">
        <f aca="false">IF(BB$69=$BY62,BB$70,0)</f>
        <v>0</v>
      </c>
      <c r="BC62" s="98" t="n">
        <f aca="false">IF(BC$69=$BY62,BC$70,0)</f>
        <v>0</v>
      </c>
      <c r="BD62" s="98" t="n">
        <f aca="false">IF(BD$69=$BY62,BD$70,0)</f>
        <v>0</v>
      </c>
      <c r="BE62" s="98" t="n">
        <f aca="false">IF(BE$69=$BY62,BE$70,0)</f>
        <v>0</v>
      </c>
      <c r="BF62" s="98" t="n">
        <f aca="false">IF(BF$69=$BY62,BF$70,0)</f>
        <v>0</v>
      </c>
      <c r="BG62" s="98" t="n">
        <f aca="false">IF(BG$69=$BY62,BG$70,0)</f>
        <v>0</v>
      </c>
      <c r="BH62" s="98" t="n">
        <f aca="false">IF(BH$69=$BY62,BH$70,0)</f>
        <v>0</v>
      </c>
      <c r="BI62" s="98" t="n">
        <f aca="false">IF(BI$69=$BY62,BI$70,0)</f>
        <v>0</v>
      </c>
      <c r="BJ62" s="98" t="n">
        <f aca="false">IF(BJ$69=$BY62,BJ$70,0)</f>
        <v>0</v>
      </c>
      <c r="BK62" s="98" t="n">
        <f aca="false">IF(BK$69=$BY62,BK$70,0)</f>
        <v>0</v>
      </c>
      <c r="BL62" s="98" t="n">
        <f aca="false">IF(BL$69=$BY62,BL$70,0)</f>
        <v>0</v>
      </c>
      <c r="BM62" s="98" t="n">
        <f aca="false">IF(BM$69=$BY62,BM$70,0)</f>
        <v>0</v>
      </c>
      <c r="BN62" s="99" t="n">
        <f aca="false">IF(BN$69=$BY62,BN$70,0)</f>
        <v>0</v>
      </c>
      <c r="BY62" s="4" t="n">
        <v>12</v>
      </c>
    </row>
    <row r="63" customFormat="false" ht="15.75" hidden="false" customHeight="true" outlineLevel="0" collapsed="false">
      <c r="A63" s="103" t="s">
        <v>101</v>
      </c>
      <c r="B63" s="97" t="n">
        <f aca="false">IF(B$69=$BY63,B$70,0)</f>
        <v>0</v>
      </c>
      <c r="C63" s="98" t="n">
        <f aca="false">IF(C$69=$BY63,C$70,0)</f>
        <v>0</v>
      </c>
      <c r="D63" s="98" t="n">
        <f aca="false">IF(D$69=$BY63,D$70,0)</f>
        <v>0</v>
      </c>
      <c r="E63" s="98" t="n">
        <f aca="false">IF(E$69=$BY63,E$70,0)</f>
        <v>0</v>
      </c>
      <c r="F63" s="98" t="n">
        <f aca="false">IF(F$69=$BY63,F$70,0)</f>
        <v>0</v>
      </c>
      <c r="G63" s="98" t="n">
        <f aca="false">IF(G$69=$BY63,G$70,0)</f>
        <v>0</v>
      </c>
      <c r="H63" s="98" t="n">
        <f aca="false">IF(H$69=$BY63,H$70,0)</f>
        <v>0</v>
      </c>
      <c r="I63" s="98" t="n">
        <f aca="false">IF(I$69=$BY63,I$70,0)</f>
        <v>0</v>
      </c>
      <c r="J63" s="98" t="n">
        <f aca="false">IF(J$69=$BY63,J$70,0)</f>
        <v>0</v>
      </c>
      <c r="K63" s="98" t="n">
        <f aca="false">IF(K$69=$BY63,K$70,0)</f>
        <v>0</v>
      </c>
      <c r="L63" s="98" t="n">
        <f aca="false">IF(L$69=$BY63,L$70,0)</f>
        <v>0</v>
      </c>
      <c r="M63" s="98" t="n">
        <f aca="false">IF(M$69=$BY63,M$70,0)</f>
        <v>0</v>
      </c>
      <c r="N63" s="99" t="n">
        <f aca="false">IF(N$69=$BY63,N$70,0)</f>
        <v>0</v>
      </c>
      <c r="O63" s="100" t="n">
        <f aca="false">IF(O$69=$BY63,O$70,0)</f>
        <v>0</v>
      </c>
      <c r="P63" s="101" t="n">
        <f aca="false">IF(P$69=$BY63,P$70,0)</f>
        <v>0</v>
      </c>
      <c r="Q63" s="101" t="n">
        <f aca="false">IF(Q$69=$BY63,Q$70,0)</f>
        <v>0</v>
      </c>
      <c r="R63" s="101" t="n">
        <f aca="false">IF(R$69=$BY63,R$70,0)</f>
        <v>0</v>
      </c>
      <c r="S63" s="101" t="n">
        <f aca="false">IF(S$69=$BY63,S$70,0)</f>
        <v>0</v>
      </c>
      <c r="T63" s="101" t="n">
        <f aca="false">IF(T$69=$BY63,T$70,0)</f>
        <v>0</v>
      </c>
      <c r="U63" s="101" t="n">
        <f aca="false">IF(U$69=$BY63,U$70,0)</f>
        <v>0</v>
      </c>
      <c r="V63" s="101" t="n">
        <f aca="false">IF(V$69=$BY63,V$70,0)</f>
        <v>0</v>
      </c>
      <c r="W63" s="101" t="n">
        <f aca="false">IF(W$69=$BY63,W$70,0)</f>
        <v>0</v>
      </c>
      <c r="X63" s="101" t="n">
        <f aca="false">IF(X$69=$BY63,X$70,0)</f>
        <v>0</v>
      </c>
      <c r="Y63" s="101" t="n">
        <f aca="false">IF(Y$69=$BY63,Y$70,0)</f>
        <v>0</v>
      </c>
      <c r="Z63" s="101" t="n">
        <f aca="false">IF(Z$69=$BY63,Z$70,0)</f>
        <v>0.00834</v>
      </c>
      <c r="AA63" s="102" t="n">
        <f aca="false">IF(AA$69=$BY63,AA$70,0)</f>
        <v>0</v>
      </c>
      <c r="AB63" s="97" t="n">
        <f aca="false">IF(AB$69=$BY63,AB$70,0)</f>
        <v>0</v>
      </c>
      <c r="AC63" s="98" t="n">
        <f aca="false">IF(AC$69=$BY63,AC$70,0)</f>
        <v>0</v>
      </c>
      <c r="AD63" s="98" t="n">
        <f aca="false">IF(AD$69=$BY63,AD$70,0)</f>
        <v>0</v>
      </c>
      <c r="AE63" s="98" t="n">
        <f aca="false">IF(AE$69=$BY63,AE$70,0)</f>
        <v>0</v>
      </c>
      <c r="AF63" s="98" t="n">
        <f aca="false">IF(AF$69=$BY63,AF$70,0)</f>
        <v>0</v>
      </c>
      <c r="AG63" s="98" t="n">
        <f aca="false">IF(AG$69=$BY63,AG$70,0)</f>
        <v>0</v>
      </c>
      <c r="AH63" s="98" t="n">
        <f aca="false">IF(AH$69=$BY63,AH$70,0)</f>
        <v>0</v>
      </c>
      <c r="AI63" s="98" t="n">
        <f aca="false">IF(AI$69=$BY63,AI$70,0)</f>
        <v>0</v>
      </c>
      <c r="AJ63" s="98" t="n">
        <f aca="false">IF(AJ$69=$BY63,AJ$70,0)</f>
        <v>0</v>
      </c>
      <c r="AK63" s="98" t="n">
        <f aca="false">IF(AK$69=$BY63,AK$70,0)</f>
        <v>0</v>
      </c>
      <c r="AL63" s="98" t="n">
        <f aca="false">IF(AL$69=$BY63,AL$70,0)</f>
        <v>0</v>
      </c>
      <c r="AM63" s="98" t="n">
        <f aca="false">IF(AM$69=$BY63,AM$70,0)</f>
        <v>0</v>
      </c>
      <c r="AN63" s="99" t="n">
        <f aca="false">IF(AN$69=$BY63,AN$70,0)</f>
        <v>0</v>
      </c>
      <c r="AO63" s="100" t="n">
        <f aca="false">IF(AO$69=$BY63,AO$70,0)</f>
        <v>0</v>
      </c>
      <c r="AP63" s="101" t="n">
        <f aca="false">IF(AP$69=$BY63,AP$70,0)</f>
        <v>0</v>
      </c>
      <c r="AQ63" s="101" t="n">
        <f aca="false">IF(AQ$69=$BY63,AQ$70,0)</f>
        <v>0</v>
      </c>
      <c r="AR63" s="101" t="n">
        <f aca="false">IF(AR$69=$BY63,AR$70,0)</f>
        <v>0</v>
      </c>
      <c r="AS63" s="101" t="n">
        <f aca="false">IF(AS$69=$BY63,AS$70,0)</f>
        <v>0</v>
      </c>
      <c r="AT63" s="101" t="n">
        <f aca="false">IF(AT$69=$BY63,AT$70,0)</f>
        <v>0</v>
      </c>
      <c r="AU63" s="101" t="n">
        <f aca="false">IF(AU$69=$BY63,AU$70,0)</f>
        <v>0</v>
      </c>
      <c r="AV63" s="101" t="n">
        <f aca="false">IF(AV$69=$BY63,AV$70,0)</f>
        <v>0</v>
      </c>
      <c r="AW63" s="101" t="n">
        <f aca="false">IF(AW$69=$BY63,AW$70,0)</f>
        <v>0</v>
      </c>
      <c r="AX63" s="101" t="n">
        <f aca="false">IF(AX$69=$BY63,AX$70,0)</f>
        <v>0</v>
      </c>
      <c r="AY63" s="101" t="n">
        <f aca="false">IF(AY$69=$BY63,AY$70,0)</f>
        <v>0</v>
      </c>
      <c r="AZ63" s="101" t="n">
        <f aca="false">IF(AZ$69=$BY63,AZ$70,0)</f>
        <v>0</v>
      </c>
      <c r="BA63" s="102" t="n">
        <f aca="false">IF(BA$69=$BY63,BA$70,0)</f>
        <v>0</v>
      </c>
      <c r="BB63" s="97" t="n">
        <f aca="false">IF(BB$69=$BY63,BB$70,0)</f>
        <v>0</v>
      </c>
      <c r="BC63" s="98" t="n">
        <f aca="false">IF(BC$69=$BY63,BC$70,0)</f>
        <v>0</v>
      </c>
      <c r="BD63" s="98" t="n">
        <f aca="false">IF(BD$69=$BY63,BD$70,0)</f>
        <v>0</v>
      </c>
      <c r="BE63" s="98" t="n">
        <f aca="false">IF(BE$69=$BY63,BE$70,0)</f>
        <v>0</v>
      </c>
      <c r="BF63" s="98" t="n">
        <f aca="false">IF(BF$69=$BY63,BF$70,0)</f>
        <v>0</v>
      </c>
      <c r="BG63" s="98" t="n">
        <f aca="false">IF(BG$69=$BY63,BG$70,0)</f>
        <v>0</v>
      </c>
      <c r="BH63" s="98" t="n">
        <f aca="false">IF(BH$69=$BY63,BH$70,0)</f>
        <v>0</v>
      </c>
      <c r="BI63" s="98" t="n">
        <f aca="false">IF(BI$69=$BY63,BI$70,0)</f>
        <v>0</v>
      </c>
      <c r="BJ63" s="98" t="n">
        <f aca="false">IF(BJ$69=$BY63,BJ$70,0)</f>
        <v>0</v>
      </c>
      <c r="BK63" s="98" t="n">
        <f aca="false">IF(BK$69=$BY63,BK$70,0)</f>
        <v>0</v>
      </c>
      <c r="BL63" s="98" t="n">
        <f aca="false">IF(BL$69=$BY63,BL$70,0)</f>
        <v>0</v>
      </c>
      <c r="BM63" s="98" t="n">
        <f aca="false">IF(BM$69=$BY63,BM$70,0)</f>
        <v>0</v>
      </c>
      <c r="BN63" s="99" t="n">
        <f aca="false">IF(BN$69=$BY63,BN$70,0)</f>
        <v>0</v>
      </c>
      <c r="BY63" s="4" t="n">
        <v>13</v>
      </c>
    </row>
    <row r="64" customFormat="false" ht="15.75" hidden="false" customHeight="true" outlineLevel="0" collapsed="false">
      <c r="A64" s="103" t="s">
        <v>102</v>
      </c>
      <c r="B64" s="97" t="n">
        <f aca="false">IF(B$69=$BY64,B$70,0)</f>
        <v>0</v>
      </c>
      <c r="C64" s="98" t="n">
        <f aca="false">IF(C$69=$BY64,C$70,0)</f>
        <v>0</v>
      </c>
      <c r="D64" s="98" t="n">
        <f aca="false">IF(D$69=$BY64,D$70,0)</f>
        <v>0</v>
      </c>
      <c r="E64" s="98" t="n">
        <f aca="false">IF(E$69=$BY64,E$70,0)</f>
        <v>0</v>
      </c>
      <c r="F64" s="98" t="n">
        <f aca="false">IF(F$69=$BY64,F$70,0)</f>
        <v>0</v>
      </c>
      <c r="G64" s="98" t="n">
        <f aca="false">IF(G$69=$BY64,G$70,0)</f>
        <v>0</v>
      </c>
      <c r="H64" s="98" t="n">
        <f aca="false">IF(H$69=$BY64,H$70,0)</f>
        <v>0</v>
      </c>
      <c r="I64" s="98" t="n">
        <f aca="false">IF(I$69=$BY64,I$70,0)</f>
        <v>0</v>
      </c>
      <c r="J64" s="98" t="n">
        <f aca="false">IF(J$69=$BY64,J$70,0)</f>
        <v>0</v>
      </c>
      <c r="K64" s="98" t="n">
        <f aca="false">IF(K$69=$BY64,K$70,0)</f>
        <v>0</v>
      </c>
      <c r="L64" s="98" t="n">
        <f aca="false">IF(L$69=$BY64,L$70,0)</f>
        <v>0</v>
      </c>
      <c r="M64" s="98" t="n">
        <f aca="false">IF(M$69=$BY64,M$70,0)</f>
        <v>0</v>
      </c>
      <c r="N64" s="99" t="n">
        <f aca="false">IF(N$69=$BY64,N$70,0)</f>
        <v>0</v>
      </c>
      <c r="O64" s="100" t="n">
        <f aca="false">IF(O$69=$BY64,O$70,0)</f>
        <v>0</v>
      </c>
      <c r="P64" s="101" t="n">
        <f aca="false">IF(P$69=$BY64,P$70,0)</f>
        <v>0.01027</v>
      </c>
      <c r="Q64" s="101" t="n">
        <f aca="false">IF(Q$69=$BY64,Q$70,0)</f>
        <v>0.00674</v>
      </c>
      <c r="R64" s="101" t="n">
        <f aca="false">IF(R$69=$BY64,R$70,0)</f>
        <v>0</v>
      </c>
      <c r="S64" s="101" t="n">
        <f aca="false">IF(S$69=$BY64,S$70,0)</f>
        <v>0</v>
      </c>
      <c r="T64" s="101" t="n">
        <f aca="false">IF(T$69=$BY64,T$70,0)</f>
        <v>0</v>
      </c>
      <c r="U64" s="101" t="n">
        <f aca="false">IF(U$69=$BY64,U$70,0)</f>
        <v>0</v>
      </c>
      <c r="V64" s="101" t="n">
        <f aca="false">IF(V$69=$BY64,V$70,0)</f>
        <v>0</v>
      </c>
      <c r="W64" s="101" t="n">
        <f aca="false">IF(W$69=$BY64,W$70,0)</f>
        <v>0</v>
      </c>
      <c r="X64" s="101" t="n">
        <f aca="false">IF(X$69=$BY64,X$70,0)</f>
        <v>0</v>
      </c>
      <c r="Y64" s="101" t="n">
        <f aca="false">IF(Y$69=$BY64,Y$70,0)</f>
        <v>0</v>
      </c>
      <c r="Z64" s="101" t="n">
        <f aca="false">IF(Z$69=$BY64,Z$70,0)</f>
        <v>0</v>
      </c>
      <c r="AA64" s="102" t="n">
        <f aca="false">IF(AA$69=$BY64,AA$70,0)</f>
        <v>0</v>
      </c>
      <c r="AB64" s="97" t="n">
        <f aca="false">IF(AB$69=$BY64,AB$70,0)</f>
        <v>0</v>
      </c>
      <c r="AC64" s="98" t="n">
        <f aca="false">IF(AC$69=$BY64,AC$70,0)</f>
        <v>0</v>
      </c>
      <c r="AD64" s="98" t="n">
        <f aca="false">IF(AD$69=$BY64,AD$70,0)</f>
        <v>0</v>
      </c>
      <c r="AE64" s="98" t="n">
        <f aca="false">IF(AE$69=$BY64,AE$70,0)</f>
        <v>0</v>
      </c>
      <c r="AF64" s="98" t="n">
        <f aca="false">IF(AF$69=$BY64,AF$70,0)</f>
        <v>0</v>
      </c>
      <c r="AG64" s="98" t="n">
        <f aca="false">IF(AG$69=$BY64,AG$70,0)</f>
        <v>0</v>
      </c>
      <c r="AH64" s="98" t="n">
        <f aca="false">IF(AH$69=$BY64,AH$70,0)</f>
        <v>0</v>
      </c>
      <c r="AI64" s="98" t="n">
        <f aca="false">IF(AI$69=$BY64,AI$70,0)</f>
        <v>0</v>
      </c>
      <c r="AJ64" s="98" t="n">
        <f aca="false">IF(AJ$69=$BY64,AJ$70,0)</f>
        <v>0</v>
      </c>
      <c r="AK64" s="98" t="n">
        <f aca="false">IF(AK$69=$BY64,AK$70,0)</f>
        <v>0</v>
      </c>
      <c r="AL64" s="98" t="n">
        <f aca="false">IF(AL$69=$BY64,AL$70,0)</f>
        <v>0</v>
      </c>
      <c r="AM64" s="98" t="n">
        <f aca="false">IF(AM$69=$BY64,AM$70,0)</f>
        <v>0</v>
      </c>
      <c r="AN64" s="99" t="n">
        <f aca="false">IF(AN$69=$BY64,AN$70,0)</f>
        <v>0</v>
      </c>
      <c r="AO64" s="100" t="n">
        <f aca="false">IF(AO$69=$BY64,AO$70,0)</f>
        <v>0</v>
      </c>
      <c r="AP64" s="101" t="n">
        <f aca="false">IF(AP$69=$BY64,AP$70,0)</f>
        <v>0</v>
      </c>
      <c r="AQ64" s="101" t="n">
        <f aca="false">IF(AQ$69=$BY64,AQ$70,0)</f>
        <v>0</v>
      </c>
      <c r="AR64" s="101" t="n">
        <f aca="false">IF(AR$69=$BY64,AR$70,0)</f>
        <v>0</v>
      </c>
      <c r="AS64" s="101" t="n">
        <f aca="false">IF(AS$69=$BY64,AS$70,0)</f>
        <v>0</v>
      </c>
      <c r="AT64" s="101" t="n">
        <f aca="false">IF(AT$69=$BY64,AT$70,0)</f>
        <v>0.01265</v>
      </c>
      <c r="AU64" s="101" t="n">
        <f aca="false">IF(AU$69=$BY64,AU$70,0)</f>
        <v>0</v>
      </c>
      <c r="AV64" s="101" t="n">
        <f aca="false">IF(AV$69=$BY64,AV$70,0)</f>
        <v>0</v>
      </c>
      <c r="AW64" s="101" t="n">
        <f aca="false">IF(AW$69=$BY64,AW$70,0)</f>
        <v>0</v>
      </c>
      <c r="AX64" s="101" t="n">
        <f aca="false">IF(AX$69=$BY64,AX$70,0)</f>
        <v>0.01746</v>
      </c>
      <c r="AY64" s="101" t="n">
        <f aca="false">IF(AY$69=$BY64,AY$70,0)</f>
        <v>0</v>
      </c>
      <c r="AZ64" s="101" t="n">
        <f aca="false">IF(AZ$69=$BY64,AZ$70,0)</f>
        <v>0</v>
      </c>
      <c r="BA64" s="102" t="n">
        <f aca="false">IF(BA$69=$BY64,BA$70,0)</f>
        <v>0</v>
      </c>
      <c r="BB64" s="97" t="n">
        <f aca="false">IF(BB$69=$BY64,BB$70,0)</f>
        <v>0</v>
      </c>
      <c r="BC64" s="98" t="n">
        <f aca="false">IF(BC$69=$BY64,BC$70,0)</f>
        <v>0</v>
      </c>
      <c r="BD64" s="98" t="n">
        <f aca="false">IF(BD$69=$BY64,BD$70,0)</f>
        <v>0</v>
      </c>
      <c r="BE64" s="98" t="n">
        <f aca="false">IF(BE$69=$BY64,BE$70,0)</f>
        <v>0</v>
      </c>
      <c r="BF64" s="98" t="n">
        <f aca="false">IF(BF$69=$BY64,BF$70,0)</f>
        <v>0</v>
      </c>
      <c r="BG64" s="98" t="n">
        <f aca="false">IF(BG$69=$BY64,BG$70,0)</f>
        <v>0</v>
      </c>
      <c r="BH64" s="98" t="n">
        <f aca="false">IF(BH$69=$BY64,BH$70,0)</f>
        <v>0</v>
      </c>
      <c r="BI64" s="98" t="n">
        <f aca="false">IF(BI$69=$BY64,BI$70,0)</f>
        <v>0</v>
      </c>
      <c r="BJ64" s="98" t="n">
        <f aca="false">IF(BJ$69=$BY64,BJ$70,0)</f>
        <v>0</v>
      </c>
      <c r="BK64" s="98" t="n">
        <f aca="false">IF(BK$69=$BY64,BK$70,0)</f>
        <v>0</v>
      </c>
      <c r="BL64" s="98" t="n">
        <f aca="false">IF(BL$69=$BY64,BL$70,0)</f>
        <v>0</v>
      </c>
      <c r="BM64" s="98" t="n">
        <f aca="false">IF(BM$69=$BY64,BM$70,0)</f>
        <v>0</v>
      </c>
      <c r="BN64" s="99" t="n">
        <f aca="false">IF(BN$69=$BY64,BN$70,0)</f>
        <v>0</v>
      </c>
      <c r="BY64" s="4" t="n">
        <v>14</v>
      </c>
    </row>
    <row r="65" customFormat="false" ht="15.75" hidden="false" customHeight="true" outlineLevel="0" collapsed="false">
      <c r="A65" s="103" t="s">
        <v>103</v>
      </c>
      <c r="B65" s="97" t="e">
        <f aca="false">IF(B$69=$BY65,B$70,0)</f>
        <v>#VALUE!</v>
      </c>
      <c r="C65" s="98" t="n">
        <f aca="false">IF(C$69=$BY65,C$70,0)</f>
        <v>0.01389</v>
      </c>
      <c r="D65" s="98" t="n">
        <f aca="false">IF(D$69=$BY65,D$70,0)</f>
        <v>0.00374</v>
      </c>
      <c r="E65" s="98" t="n">
        <f aca="false">IF(E$69=$BY65,E$70,0)</f>
        <v>0.00551</v>
      </c>
      <c r="F65" s="98" t="n">
        <f aca="false">IF(F$69=$BY65,F$70,0)</f>
        <v>0.00763</v>
      </c>
      <c r="G65" s="98" t="n">
        <f aca="false">IF(G$69=$BY65,G$70,0)</f>
        <v>0.00641</v>
      </c>
      <c r="H65" s="98" t="n">
        <f aca="false">IF(H$69=$BY65,H$70,0)</f>
        <v>0.00969999999999999</v>
      </c>
      <c r="I65" s="98" t="n">
        <f aca="false">IF(I$69=$BY65,I$70,0)</f>
        <v>0.0063</v>
      </c>
      <c r="J65" s="98" t="n">
        <f aca="false">IF(J$69=$BY65,J$70,0)</f>
        <v>0</v>
      </c>
      <c r="K65" s="98" t="n">
        <f aca="false">IF(K$69=$BY65,K$70,0)</f>
        <v>0</v>
      </c>
      <c r="L65" s="98" t="n">
        <f aca="false">IF(L$69=$BY65,L$70,0)</f>
        <v>0</v>
      </c>
      <c r="M65" s="98" t="n">
        <f aca="false">IF(M$69=$BY65,M$70,0)</f>
        <v>0.00726</v>
      </c>
      <c r="N65" s="99" t="n">
        <f aca="false">IF(N$69=$BY65,N$70,0)</f>
        <v>0</v>
      </c>
      <c r="O65" s="100" t="n">
        <f aca="false">IF(O$69=$BY65,O$70,0)</f>
        <v>0.0069</v>
      </c>
      <c r="P65" s="101" t="n">
        <f aca="false">IF(P$69=$BY65,P$70,0)</f>
        <v>0</v>
      </c>
      <c r="Q65" s="101" t="n">
        <f aca="false">IF(Q$69=$BY65,Q$70,0)</f>
        <v>0</v>
      </c>
      <c r="R65" s="101" t="n">
        <f aca="false">IF(R$69=$BY65,R$70,0)</f>
        <v>0.01394</v>
      </c>
      <c r="S65" s="101" t="n">
        <f aca="false">IF(S$69=$BY65,S$70,0)</f>
        <v>0</v>
      </c>
      <c r="T65" s="101" t="n">
        <f aca="false">IF(T$69=$BY65,T$70,0)</f>
        <v>0</v>
      </c>
      <c r="U65" s="101" t="n">
        <f aca="false">IF(U$69=$BY65,U$70,0)</f>
        <v>0</v>
      </c>
      <c r="V65" s="101" t="n">
        <f aca="false">IF(V$69=$BY65,V$70,0)</f>
        <v>0</v>
      </c>
      <c r="W65" s="101" t="n">
        <f aca="false">IF(W$69=$BY65,W$70,0)</f>
        <v>0.00605</v>
      </c>
      <c r="X65" s="101" t="n">
        <f aca="false">IF(X$69=$BY65,X$70,0)</f>
        <v>0</v>
      </c>
      <c r="Y65" s="101" t="n">
        <f aca="false">IF(Y$69=$BY65,Y$70,0)</f>
        <v>0.00573</v>
      </c>
      <c r="Z65" s="101" t="n">
        <f aca="false">IF(Z$69=$BY65,Z$70,0)</f>
        <v>0</v>
      </c>
      <c r="AA65" s="102" t="n">
        <f aca="false">IF(AA$69=$BY65,AA$70,0)</f>
        <v>0</v>
      </c>
      <c r="AB65" s="97" t="n">
        <f aca="false">IF(AB$69=$BY65,AB$70,0)</f>
        <v>0</v>
      </c>
      <c r="AC65" s="98" t="n">
        <f aca="false">IF(AC$69=$BY65,AC$70,0)</f>
        <v>0</v>
      </c>
      <c r="AD65" s="98" t="n">
        <f aca="false">IF(AD$69=$BY65,AD$70,0)</f>
        <v>0</v>
      </c>
      <c r="AE65" s="98" t="n">
        <f aca="false">IF(AE$69=$BY65,AE$70,0)</f>
        <v>0</v>
      </c>
      <c r="AF65" s="98" t="n">
        <f aca="false">IF(AF$69=$BY65,AF$70,0)</f>
        <v>0</v>
      </c>
      <c r="AG65" s="98" t="n">
        <f aca="false">IF(AG$69=$BY65,AG$70,0)</f>
        <v>0</v>
      </c>
      <c r="AH65" s="98" t="n">
        <f aca="false">IF(AH$69=$BY65,AH$70,0)</f>
        <v>0</v>
      </c>
      <c r="AI65" s="98" t="n">
        <f aca="false">IF(AI$69=$BY65,AI$70,0)</f>
        <v>0</v>
      </c>
      <c r="AJ65" s="98" t="n">
        <f aca="false">IF(AJ$69=$BY65,AJ$70,0)</f>
        <v>0</v>
      </c>
      <c r="AK65" s="98" t="n">
        <f aca="false">IF(AK$69=$BY65,AK$70,0)</f>
        <v>0</v>
      </c>
      <c r="AL65" s="98" t="n">
        <f aca="false">IF(AL$69=$BY65,AL$70,0)</f>
        <v>0</v>
      </c>
      <c r="AM65" s="98" t="n">
        <f aca="false">IF(AM$69=$BY65,AM$70,0)</f>
        <v>0</v>
      </c>
      <c r="AN65" s="99" t="n">
        <f aca="false">IF(AN$69=$BY65,AN$70,0)</f>
        <v>0</v>
      </c>
      <c r="AO65" s="100" t="n">
        <f aca="false">IF(AO$69=$BY65,AO$70,0)</f>
        <v>0</v>
      </c>
      <c r="AP65" s="101" t="n">
        <f aca="false">IF(AP$69=$BY65,AP$70,0)</f>
        <v>0</v>
      </c>
      <c r="AQ65" s="101" t="n">
        <f aca="false">IF(AQ$69=$BY65,AQ$70,0)</f>
        <v>0.00938</v>
      </c>
      <c r="AR65" s="101" t="n">
        <f aca="false">IF(AR$69=$BY65,AR$70,0)</f>
        <v>0.01158</v>
      </c>
      <c r="AS65" s="101" t="n">
        <f aca="false">IF(AS$69=$BY65,AS$70,0)</f>
        <v>0</v>
      </c>
      <c r="AT65" s="101" t="n">
        <f aca="false">IF(AT$69=$BY65,AT$70,0)</f>
        <v>0</v>
      </c>
      <c r="AU65" s="101" t="n">
        <f aca="false">IF(AU$69=$BY65,AU$70,0)</f>
        <v>0.00716</v>
      </c>
      <c r="AV65" s="101" t="n">
        <f aca="false">IF(AV$69=$BY65,AV$70,0)</f>
        <v>0.00775</v>
      </c>
      <c r="AW65" s="101" t="n">
        <f aca="false">IF(AW$69=$BY65,AW$70,0)</f>
        <v>0</v>
      </c>
      <c r="AX65" s="101" t="n">
        <f aca="false">IF(AX$69=$BY65,AX$70,0)</f>
        <v>0</v>
      </c>
      <c r="AY65" s="101" t="n">
        <f aca="false">IF(AY$69=$BY65,AY$70,0)</f>
        <v>0.01136</v>
      </c>
      <c r="AZ65" s="101" t="n">
        <f aca="false">IF(AZ$69=$BY65,AZ$70,0)</f>
        <v>0</v>
      </c>
      <c r="BA65" s="102" t="n">
        <f aca="false">IF(BA$69=$BY65,BA$70,0)</f>
        <v>0</v>
      </c>
      <c r="BB65" s="97" t="n">
        <f aca="false">IF(BB$69=$BY65,BB$70,0)</f>
        <v>0</v>
      </c>
      <c r="BC65" s="98" t="n">
        <f aca="false">IF(BC$69=$BY65,BC$70,0)</f>
        <v>0</v>
      </c>
      <c r="BD65" s="98" t="n">
        <f aca="false">IF(BD$69=$BY65,BD$70,0)</f>
        <v>0</v>
      </c>
      <c r="BE65" s="98" t="n">
        <f aca="false">IF(BE$69=$BY65,BE$70,0)</f>
        <v>0</v>
      </c>
      <c r="BF65" s="98" t="n">
        <f aca="false">IF(BF$69=$BY65,BF$70,0)</f>
        <v>0</v>
      </c>
      <c r="BG65" s="98" t="n">
        <f aca="false">IF(BG$69=$BY65,BG$70,0)</f>
        <v>0</v>
      </c>
      <c r="BH65" s="98" t="n">
        <f aca="false">IF(BH$69=$BY65,BH$70,0)</f>
        <v>0</v>
      </c>
      <c r="BI65" s="98" t="n">
        <f aca="false">IF(BI$69=$BY65,BI$70,0)</f>
        <v>0</v>
      </c>
      <c r="BJ65" s="98" t="n">
        <f aca="false">IF(BJ$69=$BY65,BJ$70,0)</f>
        <v>0</v>
      </c>
      <c r="BK65" s="98" t="n">
        <f aca="false">IF(BK$69=$BY65,BK$70,0)</f>
        <v>0</v>
      </c>
      <c r="BL65" s="98" t="n">
        <f aca="false">IF(BL$69=$BY65,BL$70,0)</f>
        <v>0</v>
      </c>
      <c r="BM65" s="98" t="n">
        <f aca="false">IF(BM$69=$BY65,BM$70,0)</f>
        <v>0</v>
      </c>
      <c r="BN65" s="99" t="n">
        <f aca="false">IF(BN$69=$BY65,BN$70,0)</f>
        <v>0</v>
      </c>
      <c r="BY65" s="4" t="n">
        <v>15</v>
      </c>
    </row>
    <row r="66" customFormat="false" ht="15.75" hidden="false" customHeight="true" outlineLevel="0" collapsed="false">
      <c r="A66" s="103" t="s">
        <v>35</v>
      </c>
      <c r="B66" s="104" t="n">
        <f aca="false">IF(ISERROR(HLOOKUP(B$41,Coms,$BY66,0)),60,HLOOKUP(B$41,Coms,$BY66,0))</f>
        <v>83.7578652637491</v>
      </c>
      <c r="C66" s="105" t="n">
        <f aca="false">IF(ISERROR(HLOOKUP(C$41,Coms,$BY66,0)),60,HLOOKUP(C$41,Coms,$BY66,0))</f>
        <v>75.0433518040565</v>
      </c>
      <c r="D66" s="105" t="n">
        <f aca="false">IF(ISERROR(HLOOKUP(D$41,Coms,$BY66,0)),60,HLOOKUP(D$41,Coms,$BY66,0))</f>
        <v>93.7986342383159</v>
      </c>
      <c r="E66" s="105" t="n">
        <f aca="false">IF(ISERROR(HLOOKUP(E$41,Coms,$BY66,0)),60,HLOOKUP(E$41,Coms,$BY66,0))</f>
        <v>81.8026421480001</v>
      </c>
      <c r="F66" s="105" t="n">
        <f aca="false">IF(ISERROR(HLOOKUP(F$41,Coms,$BY66,0)),60,HLOOKUP(F$41,Coms,$BY66,0))</f>
        <v>74.5389554167065</v>
      </c>
      <c r="G66" s="105" t="n">
        <f aca="false">IF(ISERROR(HLOOKUP(G$41,Coms,$BY66,0)),60,HLOOKUP(G$41,Coms,$BY66,0))</f>
        <v>73.0207136120128</v>
      </c>
      <c r="H66" s="105" t="n">
        <f aca="false">IF(ISERROR(HLOOKUP(H$41,Coms,$BY66,0)),60,HLOOKUP(H$41,Coms,$BY66,0))</f>
        <v>82.1364990203612</v>
      </c>
      <c r="I66" s="105" t="n">
        <f aca="false">IF(ISERROR(HLOOKUP(I$41,Coms,$BY66,0)),60,HLOOKUP(I$41,Coms,$BY66,0))</f>
        <v>87.6471195839257</v>
      </c>
      <c r="J66" s="105" t="n">
        <f aca="false">IF(ISERROR(HLOOKUP(J$41,Coms,$BY66,0)),60,HLOOKUP(J$41,Coms,$BY66,0))</f>
        <v>87.1977908454652</v>
      </c>
      <c r="K66" s="105" t="n">
        <f aca="false">IF(ISERROR(HLOOKUP(K$41,Coms,$BY66,0)),60,HLOOKUP(K$41,Coms,$BY66,0))</f>
        <v>94.5263672644228</v>
      </c>
      <c r="L66" s="105" t="n">
        <f aca="false">IF(ISERROR(HLOOKUP(L$41,Coms,$BY66,0)),60,HLOOKUP(L$41,Coms,$BY66,0))</f>
        <v>94.319810597109</v>
      </c>
      <c r="M66" s="105" t="n">
        <f aca="false">IF(ISERROR(HLOOKUP(M$41,Coms,$BY66,0)),60,HLOOKUP(M$41,Coms,$BY66,0))</f>
        <v>88.0177497623365</v>
      </c>
      <c r="N66" s="106" t="n">
        <f aca="false">IF(ISERROR(HLOOKUP(N$41,Coms,$BY66,0)),60,HLOOKUP(N$41,Coms,$BY66,0))</f>
        <v>93.1365001657748</v>
      </c>
      <c r="O66" s="107" t="n">
        <f aca="false">IF(ISERROR(HLOOKUP(O$41,Coms,$BY66,0)),60,HLOOKUP(O$41,Coms,$BY66,0))</f>
        <v>84.839565504966</v>
      </c>
      <c r="P66" s="108" t="n">
        <f aca="false">IF(ISERROR(HLOOKUP(P$41,Coms,$BY66,0)),60,HLOOKUP(P$41,Coms,$BY66,0))</f>
        <v>87.8186506354005</v>
      </c>
      <c r="Q66" s="108" t="n">
        <f aca="false">IF(ISERROR(HLOOKUP(Q$41,Coms,$BY66,0)),60,HLOOKUP(Q$41,Coms,$BY66,0))</f>
        <v>95.1078334775595</v>
      </c>
      <c r="R66" s="108" t="n">
        <f aca="false">IF(ISERROR(HLOOKUP(R$41,Coms,$BY66,0)),60,HLOOKUP(R$41,Coms,$BY66,0))</f>
        <v>78.942673965167</v>
      </c>
      <c r="S66" s="108" t="n">
        <f aca="false">IF(ISERROR(HLOOKUP(S$41,Coms,$BY66,0)),60,HLOOKUP(S$41,Coms,$BY66,0))</f>
        <v>76.9571803154484</v>
      </c>
      <c r="T66" s="108" t="n">
        <f aca="false">IF(ISERROR(HLOOKUP(T$41,Coms,$BY66,0)),60,HLOOKUP(T$41,Coms,$BY66,0))</f>
        <v>77.1167436605302</v>
      </c>
      <c r="U66" s="108" t="n">
        <f aca="false">IF(ISERROR(HLOOKUP(U$41,Coms,$BY66,0)),60,HLOOKUP(U$41,Coms,$BY66,0))</f>
        <v>78.8065221078934</v>
      </c>
      <c r="V66" s="108" t="n">
        <f aca="false">IF(ISERROR(HLOOKUP(V$41,Coms,$BY66,0)),60,HLOOKUP(V$41,Coms,$BY66,0))</f>
        <v>81.4497945849687</v>
      </c>
      <c r="W66" s="108" t="n">
        <f aca="false">IF(ISERROR(HLOOKUP(W$41,Coms,$BY66,0)),60,HLOOKUP(W$41,Coms,$BY66,0))</f>
        <v>80.6438741754455</v>
      </c>
      <c r="X66" s="108" t="n">
        <f aca="false">IF(ISERROR(HLOOKUP(X$41,Coms,$BY66,0)),60,HLOOKUP(X$41,Coms,$BY66,0))</f>
        <v>75.0075733104629</v>
      </c>
      <c r="Y66" s="108" t="n">
        <f aca="false">IF(ISERROR(HLOOKUP(Y$41,Coms,$BY66,0)),60,HLOOKUP(Y$41,Coms,$BY66,0))</f>
        <v>75.4517805073168</v>
      </c>
      <c r="Z66" s="108" t="n">
        <f aca="false">IF(ISERROR(HLOOKUP(Z$41,Coms,$BY66,0)),60,HLOOKUP(Z$41,Coms,$BY66,0))</f>
        <v>79.9335406297994</v>
      </c>
      <c r="AA66" s="109" t="n">
        <f aca="false">IF(ISERROR(HLOOKUP(AA$41,Coms,$BY66,0)),60,HLOOKUP(AA$41,Coms,$BY66,0))</f>
        <v>87.6852171364913</v>
      </c>
      <c r="AB66" s="104" t="n">
        <f aca="false">IF(ISERROR(HLOOKUP(AB$41,Coms,$BY66,0)),60,HLOOKUP(AB$41,Coms,$BY66,0))</f>
        <v>95.8978307126668</v>
      </c>
      <c r="AC66" s="105" t="n">
        <f aca="false">IF(ISERROR(HLOOKUP(AC$41,Coms,$BY66,0)),60,HLOOKUP(AC$41,Coms,$BY66,0))</f>
        <v>98.7163792291282</v>
      </c>
      <c r="AD66" s="105" t="n">
        <f aca="false">IF(ISERROR(HLOOKUP(AD$41,Coms,$BY66,0)),60,HLOOKUP(AD$41,Coms,$BY66,0))</f>
        <v>97.7972614856566</v>
      </c>
      <c r="AE66" s="105" t="n">
        <f aca="false">IF(ISERROR(HLOOKUP(AE$41,Coms,$BY66,0)),60,HLOOKUP(AE$41,Coms,$BY66,0))</f>
        <v>76.9860555382185</v>
      </c>
      <c r="AF66" s="105" t="n">
        <f aca="false">IF(ISERROR(HLOOKUP(AF$41,Coms,$BY66,0)),60,HLOOKUP(AF$41,Coms,$BY66,0))</f>
        <v>74.9318121595437</v>
      </c>
      <c r="AG66" s="105" t="n">
        <f aca="false">IF(ISERROR(HLOOKUP(AG$41,Coms,$BY66,0)),60,HLOOKUP(AG$41,Coms,$BY66,0))</f>
        <v>94.4882714358941</v>
      </c>
      <c r="AH66" s="105" t="n">
        <f aca="false">IF(ISERROR(HLOOKUP(AH$41,Coms,$BY66,0)),60,HLOOKUP(AH$41,Coms,$BY66,0))</f>
        <v>91.995710297439</v>
      </c>
      <c r="AI66" s="105" t="n">
        <f aca="false">IF(ISERROR(HLOOKUP(AI$41,Coms,$BY66,0)),60,HLOOKUP(AI$41,Coms,$BY66,0))</f>
        <v>60</v>
      </c>
      <c r="AJ66" s="105" t="n">
        <f aca="false">IF(ISERROR(HLOOKUP(AJ$41,Coms,$BY66,0)),60,HLOOKUP(AJ$41,Coms,$BY66,0))</f>
        <v>60</v>
      </c>
      <c r="AK66" s="105" t="n">
        <f aca="false">IF(ISERROR(HLOOKUP(AK$41,Coms,$BY66,0)),60,HLOOKUP(AK$41,Coms,$BY66,0))</f>
        <v>60</v>
      </c>
      <c r="AL66" s="105" t="n">
        <f aca="false">IF(ISERROR(HLOOKUP(AL$41,Coms,$BY66,0)),60,HLOOKUP(AL$41,Coms,$BY66,0))</f>
        <v>60</v>
      </c>
      <c r="AM66" s="105" t="n">
        <f aca="false">IF(ISERROR(HLOOKUP(AM$41,Coms,$BY66,0)),60,HLOOKUP(AM$41,Coms,$BY66,0))</f>
        <v>60</v>
      </c>
      <c r="AN66" s="106" t="n">
        <f aca="false">IF(ISERROR(HLOOKUP(AN$41,Coms,$BY66,0)),60,HLOOKUP(AN$41,Coms,$BY66,0))</f>
        <v>60</v>
      </c>
      <c r="AO66" s="107" t="n">
        <f aca="false">IF(ISERROR(HLOOKUP(AO$41,Coms,$BY66,0)),60,HLOOKUP(AO$41,Coms,$BY66,0))</f>
        <v>79.980892128898</v>
      </c>
      <c r="AP66" s="108" t="n">
        <f aca="false">IF(ISERROR(HLOOKUP(AP$41,Coms,$BY66,0)),60,HLOOKUP(AP$41,Coms,$BY66,0))</f>
        <v>90.7630518904569</v>
      </c>
      <c r="AQ66" s="108" t="n">
        <f aca="false">IF(ISERROR(HLOOKUP(AQ$41,Coms,$BY66,0)),60,HLOOKUP(AQ$41,Coms,$BY66,0))</f>
        <v>82.8667216876883</v>
      </c>
      <c r="AR66" s="108" t="n">
        <f aca="false">IF(ISERROR(HLOOKUP(AR$41,Coms,$BY66,0)),60,HLOOKUP(AR$41,Coms,$BY66,0))</f>
        <v>85.566671841253</v>
      </c>
      <c r="AS66" s="108" t="n">
        <f aca="false">IF(ISERROR(HLOOKUP(AS$41,Coms,$BY66,0)),60,HLOOKUP(AS$41,Coms,$BY66,0))</f>
        <v>90.353664943909</v>
      </c>
      <c r="AT66" s="108" t="n">
        <f aca="false">IF(ISERROR(HLOOKUP(AT$41,Coms,$BY66,0)),60,HLOOKUP(AT$41,Coms,$BY66,0))</f>
        <v>86.4286313256076</v>
      </c>
      <c r="AU66" s="108" t="n">
        <f aca="false">IF(ISERROR(HLOOKUP(AU$41,Coms,$BY66,0)),60,HLOOKUP(AU$41,Coms,$BY66,0))</f>
        <v>102.01060011026</v>
      </c>
      <c r="AV66" s="108" t="n">
        <f aca="false">IF(ISERROR(HLOOKUP(AV$41,Coms,$BY66,0)),60,HLOOKUP(AV$41,Coms,$BY66,0))</f>
        <v>80.2689928116755</v>
      </c>
      <c r="AW66" s="108" t="n">
        <f aca="false">IF(ISERROR(HLOOKUP(AW$41,Coms,$BY66,0)),60,HLOOKUP(AW$41,Coms,$BY66,0))</f>
        <v>86.1468728699175</v>
      </c>
      <c r="AX66" s="108" t="n">
        <f aca="false">IF(ISERROR(HLOOKUP(AX$41,Coms,$BY66,0)),60,HLOOKUP(AX$41,Coms,$BY66,0))</f>
        <v>99.6528658427098</v>
      </c>
      <c r="AY66" s="108" t="n">
        <f aca="false">IF(ISERROR(HLOOKUP(AY$41,Coms,$BY66,0)),60,HLOOKUP(AY$41,Coms,$BY66,0))</f>
        <v>115.991547780407</v>
      </c>
      <c r="AZ66" s="108" t="n">
        <f aca="false">IF(ISERROR(HLOOKUP(AZ$41,Coms,$BY66,0)),60,HLOOKUP(AZ$41,Coms,$BY66,0))</f>
        <v>60</v>
      </c>
      <c r="BA66" s="109" t="n">
        <f aca="false">IF(ISERROR(HLOOKUP(BA$41,Coms,$BY66,0)),60,HLOOKUP(BA$41,Coms,$BY66,0))</f>
        <v>60</v>
      </c>
      <c r="BB66" s="104" t="n">
        <f aca="false">IF(ISERROR(HLOOKUP(BB$41,Coms,$BY66,0)),60,HLOOKUP(BB$41,Coms,$BY66,0))</f>
        <v>103.890276618182</v>
      </c>
      <c r="BC66" s="105" t="n">
        <f aca="false">IF(ISERROR(HLOOKUP(BC$41,Coms,$BY66,0)),60,HLOOKUP(BC$41,Coms,$BY66,0))</f>
        <v>87.138526581894</v>
      </c>
      <c r="BD66" s="105" t="n">
        <f aca="false">IF(ISERROR(HLOOKUP(BD$41,Coms,$BY66,0)),60,HLOOKUP(BD$41,Coms,$BY66,0))</f>
        <v>103.958267604457</v>
      </c>
      <c r="BE66" s="105" t="n">
        <f aca="false">IF(ISERROR(HLOOKUP(BE$41,Coms,$BY66,0)),60,HLOOKUP(BE$41,Coms,$BY66,0))</f>
        <v>103.970331203093</v>
      </c>
      <c r="BF66" s="105" t="n">
        <f aca="false">IF(ISERROR(HLOOKUP(BF$41,Coms,$BY66,0)),60,HLOOKUP(BF$41,Coms,$BY66,0))</f>
        <v>80.4026728855666</v>
      </c>
      <c r="BG66" s="105" t="n">
        <f aca="false">IF(ISERROR(HLOOKUP(BG$41,Coms,$BY66,0)),60,HLOOKUP(BG$41,Coms,$BY66,0))</f>
        <v>87.6964028917184</v>
      </c>
      <c r="BH66" s="105" t="n">
        <f aca="false">IF(ISERROR(HLOOKUP(BH$41,Coms,$BY66,0)),60,HLOOKUP(BH$41,Coms,$BY66,0))</f>
        <v>85.8545616006886</v>
      </c>
      <c r="BI66" s="105" t="n">
        <f aca="false">IF(ISERROR(HLOOKUP(BI$41,Coms,$BY66,0)),60,HLOOKUP(BI$41,Coms,$BY66,0))</f>
        <v>102.10348821627</v>
      </c>
      <c r="BJ66" s="105" t="n">
        <f aca="false">IF(ISERROR(HLOOKUP(BJ$41,Coms,$BY66,0)),60,HLOOKUP(BJ$41,Coms,$BY66,0))</f>
        <v>60</v>
      </c>
      <c r="BK66" s="105" t="n">
        <f aca="false">IF(ISERROR(HLOOKUP(BK$41,Coms,$BY66,0)),60,HLOOKUP(BK$41,Coms,$BY66,0))</f>
        <v>60</v>
      </c>
      <c r="BL66" s="105" t="n">
        <f aca="false">IF(ISERROR(HLOOKUP(BL$41,Coms,$BY66,0)),60,HLOOKUP(BL$41,Coms,$BY66,0))</f>
        <v>60</v>
      </c>
      <c r="BM66" s="105" t="n">
        <f aca="false">IF(ISERROR(HLOOKUP(BM$41,Coms,$BY66,0)),60,HLOOKUP(BM$41,Coms,$BY66,0))</f>
        <v>60</v>
      </c>
      <c r="BN66" s="106" t="n">
        <f aca="false">IF(ISERROR(HLOOKUP(BN$41,Coms,$BY66,0)),60,HLOOKUP(BN$41,Coms,$BY66,0))</f>
        <v>60</v>
      </c>
      <c r="BY66" s="4" t="n">
        <v>13</v>
      </c>
    </row>
    <row r="67" customFormat="false" ht="15.75" hidden="false" customHeight="true" outlineLevel="0" collapsed="false">
      <c r="A67" s="103" t="s">
        <v>34</v>
      </c>
      <c r="B67" s="104" t="n">
        <f aca="false">IF(ISERROR(HLOOKUP(B$41,Coms,$BY67,0)),60,HLOOKUP(B$41,Coms,$BY67,0))-14.65</f>
        <v>40.0167374019693</v>
      </c>
      <c r="C67" s="105" t="n">
        <f aca="false">IF(ISERROR(HLOOKUP(C$41,Coms,$BY67,0)),60,HLOOKUP(C$41,Coms,$BY67,0))-14.65</f>
        <v>2.0346112499955</v>
      </c>
      <c r="D67" s="105" t="n">
        <f aca="false">IF(ISERROR(HLOOKUP(D$41,Coms,$BY67,0)),60,HLOOKUP(D$41,Coms,$BY67,0))-14.65</f>
        <v>51.856085676504</v>
      </c>
      <c r="E67" s="105" t="n">
        <f aca="false">IF(ISERROR(HLOOKUP(E$41,Coms,$BY67,0)),60,HLOOKUP(E$41,Coms,$BY67,0))-14.65</f>
        <v>62.0975360866855</v>
      </c>
      <c r="F67" s="105" t="n">
        <f aca="false">IF(ISERROR(HLOOKUP(F$41,Coms,$BY67,0)),60,HLOOKUP(F$41,Coms,$BY67,0))-14.65</f>
        <v>54.9557037655324</v>
      </c>
      <c r="G67" s="105" t="n">
        <f aca="false">IF(ISERROR(HLOOKUP(G$41,Coms,$BY67,0)),60,HLOOKUP(G$41,Coms,$BY67,0))-14.65</f>
        <v>54.8552915715093</v>
      </c>
      <c r="H67" s="105" t="n">
        <f aca="false">IF(ISERROR(HLOOKUP(H$41,Coms,$BY67,0)),60,HLOOKUP(H$41,Coms,$BY67,0))-14.65</f>
        <v>32.6803692212669</v>
      </c>
      <c r="I67" s="105" t="n">
        <f aca="false">IF(ISERROR(HLOOKUP(I$41,Coms,$BY67,0)),60,HLOOKUP(I$41,Coms,$BY67,0))-14.65</f>
        <v>62.2574506929402</v>
      </c>
      <c r="J67" s="105" t="n">
        <f aca="false">IF(ISERROR(HLOOKUP(J$41,Coms,$BY67,0)),60,HLOOKUP(J$41,Coms,$BY67,0))-14.65</f>
        <v>46.0321671175185</v>
      </c>
      <c r="K67" s="105" t="n">
        <f aca="false">IF(ISERROR(HLOOKUP(K$41,Coms,$BY67,0)),60,HLOOKUP(K$41,Coms,$BY67,0))-14.65</f>
        <v>72.3201735366163</v>
      </c>
      <c r="L67" s="105" t="n">
        <f aca="false">IF(ISERROR(HLOOKUP(L$41,Coms,$BY67,0)),60,HLOOKUP(L$41,Coms,$BY67,0))-14.65</f>
        <v>71.9835211499817</v>
      </c>
      <c r="M67" s="105" t="n">
        <f aca="false">IF(ISERROR(HLOOKUP(M$41,Coms,$BY67,0)),60,HLOOKUP(M$41,Coms,$BY67,0))-14.65</f>
        <v>67.3416443128791</v>
      </c>
      <c r="N67" s="106" t="n">
        <f aca="false">IF(ISERROR(HLOOKUP(N$41,Coms,$BY67,0)),60,HLOOKUP(N$41,Coms,$BY67,0))-14.65</f>
        <v>77.7891822175048</v>
      </c>
      <c r="O67" s="107" t="n">
        <f aca="false">IF(ISERROR(HLOOKUP(O$41,Coms,$BY67,0)),60,HLOOKUP(O$41,Coms,$BY67,0))-14.65</f>
        <v>55.905804925251</v>
      </c>
      <c r="P67" s="108" t="n">
        <f aca="false">IF(ISERROR(HLOOKUP(P$41,Coms,$BY67,0)),60,HLOOKUP(P$41,Coms,$BY67,0))-14.65</f>
        <v>64.8785223220425</v>
      </c>
      <c r="Q67" s="108" t="n">
        <f aca="false">IF(ISERROR(HLOOKUP(Q$41,Coms,$BY67,0)),60,HLOOKUP(Q$41,Coms,$BY67,0))-14.65</f>
        <v>65.6537823893195</v>
      </c>
      <c r="R67" s="108" t="n">
        <f aca="false">IF(ISERROR(HLOOKUP(R$41,Coms,$BY67,0)),60,HLOOKUP(R$41,Coms,$BY67,0))-14.65</f>
        <v>7.7061763237881</v>
      </c>
      <c r="S67" s="108" t="n">
        <f aca="false">IF(ISERROR(HLOOKUP(S$41,Coms,$BY67,0)),60,HLOOKUP(S$41,Coms,$BY67,0))-14.65</f>
        <v>-1.2280818000917</v>
      </c>
      <c r="T67" s="108" t="n">
        <f aca="false">IF(ISERROR(HLOOKUP(T$41,Coms,$BY67,0)),60,HLOOKUP(T$41,Coms,$BY67,0))-14.65</f>
        <v>75.7334337204179</v>
      </c>
      <c r="U67" s="108" t="n">
        <f aca="false">IF(ISERROR(HLOOKUP(U$41,Coms,$BY67,0)),60,HLOOKUP(U$41,Coms,$BY67,0))-14.65</f>
        <v>-1.2928781350454</v>
      </c>
      <c r="V67" s="108" t="n">
        <f aca="false">IF(ISERROR(HLOOKUP(V$41,Coms,$BY67,0)),60,HLOOKUP(V$41,Coms,$BY67,0))-14.65</f>
        <v>79.9672602500156</v>
      </c>
      <c r="W67" s="108" t="n">
        <f aca="false">IF(ISERROR(HLOOKUP(W$41,Coms,$BY67,0)),60,HLOOKUP(W$41,Coms,$BY67,0))-14.65</f>
        <v>79.1453254304999</v>
      </c>
      <c r="X67" s="108" t="n">
        <f aca="false">IF(ISERROR(HLOOKUP(X$41,Coms,$BY67,0)),60,HLOOKUP(X$41,Coms,$BY67,0))-14.65</f>
        <v>78.1263482205855</v>
      </c>
      <c r="Y67" s="108" t="n">
        <f aca="false">IF(ISERROR(HLOOKUP(Y$41,Coms,$BY67,0)),60,HLOOKUP(Y$41,Coms,$BY67,0))-14.65</f>
        <v>76.1408598746099</v>
      </c>
      <c r="Z67" s="108" t="n">
        <f aca="false">IF(ISERROR(HLOOKUP(Z$41,Coms,$BY67,0)),60,HLOOKUP(Z$41,Coms,$BY67,0))-14.65</f>
        <v>77.3050793211202</v>
      </c>
      <c r="AA67" s="109" t="n">
        <f aca="false">IF(ISERROR(HLOOKUP(AA$41,Coms,$BY67,0)),60,HLOOKUP(AA$41,Coms,$BY67,0))-14.65</f>
        <v>57.2241552947032</v>
      </c>
      <c r="AB67" s="104" t="n">
        <f aca="false">IF(ISERROR(HLOOKUP(AB$41,Coms,$BY67,0)),60,HLOOKUP(AB$41,Coms,$BY67,0))-14.65</f>
        <v>962.392301992486</v>
      </c>
      <c r="AC67" s="105" t="n">
        <f aca="false">IF(ISERROR(HLOOKUP(AC$41,Coms,$BY67,0)),60,HLOOKUP(AC$41,Coms,$BY67,0))-14.65</f>
        <v>963.406360050745</v>
      </c>
      <c r="AD67" s="105" t="n">
        <f aca="false">IF(ISERROR(HLOOKUP(AD$41,Coms,$BY67,0)),60,HLOOKUP(AD$41,Coms,$BY67,0))-14.65</f>
        <v>950.910787038263</v>
      </c>
      <c r="AE67" s="105" t="n">
        <f aca="false">IF(ISERROR(HLOOKUP(AE$41,Coms,$BY67,0)),60,HLOOKUP(AE$41,Coms,$BY67,0))-14.65</f>
        <v>931.259429324571</v>
      </c>
      <c r="AF67" s="105" t="n">
        <f aca="false">IF(ISERROR(HLOOKUP(AF$41,Coms,$BY67,0)),60,HLOOKUP(AF$41,Coms,$BY67,0))-14.65</f>
        <v>961.26517588566</v>
      </c>
      <c r="AG67" s="105" t="n">
        <f aca="false">IF(ISERROR(HLOOKUP(AG$41,Coms,$BY67,0)),60,HLOOKUP(AG$41,Coms,$BY67,0))-14.65</f>
        <v>974.516348175679</v>
      </c>
      <c r="AH67" s="105" t="n">
        <f aca="false">IF(ISERROR(HLOOKUP(AH$41,Coms,$BY67,0)),60,HLOOKUP(AH$41,Coms,$BY67,0))-14.65</f>
        <v>958.407708345714</v>
      </c>
      <c r="AI67" s="105" t="n">
        <f aca="false">IF(ISERROR(HLOOKUP(AI$41,Coms,$BY67,0)),60,HLOOKUP(AI$41,Coms,$BY67,0))-14.65</f>
        <v>45.35</v>
      </c>
      <c r="AJ67" s="105" t="n">
        <f aca="false">IF(ISERROR(HLOOKUP(AJ$41,Coms,$BY67,0)),60,HLOOKUP(AJ$41,Coms,$BY67,0))-14.65</f>
        <v>45.35</v>
      </c>
      <c r="AK67" s="105" t="n">
        <f aca="false">IF(ISERROR(HLOOKUP(AK$41,Coms,$BY67,0)),60,HLOOKUP(AK$41,Coms,$BY67,0))-14.65</f>
        <v>45.35</v>
      </c>
      <c r="AL67" s="105" t="n">
        <f aca="false">IF(ISERROR(HLOOKUP(AL$41,Coms,$BY67,0)),60,HLOOKUP(AL$41,Coms,$BY67,0))-14.65</f>
        <v>45.35</v>
      </c>
      <c r="AM67" s="105" t="n">
        <f aca="false">IF(ISERROR(HLOOKUP(AM$41,Coms,$BY67,0)),60,HLOOKUP(AM$41,Coms,$BY67,0))-14.65</f>
        <v>45.35</v>
      </c>
      <c r="AN67" s="106" t="n">
        <f aca="false">IF(ISERROR(HLOOKUP(AN$41,Coms,$BY67,0)),60,HLOOKUP(AN$41,Coms,$BY67,0))-14.65</f>
        <v>45.35</v>
      </c>
      <c r="AO67" s="107" t="n">
        <f aca="false">IF(ISERROR(HLOOKUP(AO$41,Coms,$BY67,0)),60,HLOOKUP(AO$41,Coms,$BY67,0))-14.65</f>
        <v>56.4874473111294</v>
      </c>
      <c r="AP67" s="108" t="n">
        <f aca="false">IF(ISERROR(HLOOKUP(AP$41,Coms,$BY67,0)),60,HLOOKUP(AP$41,Coms,$BY67,0))-14.65</f>
        <v>62.6379731657529</v>
      </c>
      <c r="AQ67" s="108" t="n">
        <f aca="false">IF(ISERROR(HLOOKUP(AQ$41,Coms,$BY67,0)),60,HLOOKUP(AQ$41,Coms,$BY67,0))-14.65</f>
        <v>36.4119260629611</v>
      </c>
      <c r="AR67" s="108" t="n">
        <f aca="false">IF(ISERROR(HLOOKUP(AR$41,Coms,$BY67,0)),60,HLOOKUP(AR$41,Coms,$BY67,0))-14.65</f>
        <v>34.9070783675895</v>
      </c>
      <c r="AS67" s="108" t="n">
        <f aca="false">IF(ISERROR(HLOOKUP(AS$41,Coms,$BY67,0)),60,HLOOKUP(AS$41,Coms,$BY67,0))-14.65</f>
        <v>49.2145241642939</v>
      </c>
      <c r="AT67" s="108" t="n">
        <f aca="false">IF(ISERROR(HLOOKUP(AT$41,Coms,$BY67,0)),60,HLOOKUP(AT$41,Coms,$BY67,0))-14.65</f>
        <v>45.4157130651393</v>
      </c>
      <c r="AU67" s="108" t="n">
        <f aca="false">IF(ISERROR(HLOOKUP(AU$41,Coms,$BY67,0)),60,HLOOKUP(AU$41,Coms,$BY67,0))-14.65</f>
        <v>51.3151908970752</v>
      </c>
      <c r="AV67" s="108" t="n">
        <f aca="false">IF(ISERROR(HLOOKUP(AV$41,Coms,$BY67,0)),60,HLOOKUP(AV$41,Coms,$BY67,0))-14.65</f>
        <v>51.9907443036375</v>
      </c>
      <c r="AW67" s="108" t="n">
        <f aca="false">IF(ISERROR(HLOOKUP(AW$41,Coms,$BY67,0)),60,HLOOKUP(AW$41,Coms,$BY67,0))-14.65</f>
        <v>47.5374120252386</v>
      </c>
      <c r="AX67" s="108" t="n">
        <f aca="false">IF(ISERROR(HLOOKUP(AX$41,Coms,$BY67,0)),60,HLOOKUP(AX$41,Coms,$BY67,0))-14.65</f>
        <v>49.5420752716389</v>
      </c>
      <c r="AY67" s="108" t="n">
        <f aca="false">IF(ISERROR(HLOOKUP(AY$41,Coms,$BY67,0)),60,HLOOKUP(AY$41,Coms,$BY67,0))-14.65</f>
        <v>83.1099473820053</v>
      </c>
      <c r="AZ67" s="108" t="n">
        <f aca="false">IF(ISERROR(HLOOKUP(AZ$41,Coms,$BY67,0)),60,HLOOKUP(AZ$41,Coms,$BY67,0))-14.65</f>
        <v>45.35</v>
      </c>
      <c r="BA67" s="109" t="n">
        <f aca="false">IF(ISERROR(HLOOKUP(BA$41,Coms,$BY67,0)),60,HLOOKUP(BA$41,Coms,$BY67,0))-14.65</f>
        <v>45.35</v>
      </c>
      <c r="BB67" s="104" t="n">
        <f aca="false">IF(ISERROR(HLOOKUP(BB$41,Coms,$BY67,0)),60,HLOOKUP(BB$41,Coms,$BY67,0))-14.65</f>
        <v>1066.90375682149</v>
      </c>
      <c r="BC67" s="105" t="n">
        <f aca="false">IF(ISERROR(HLOOKUP(BC$41,Coms,$BY67,0)),60,HLOOKUP(BC$41,Coms,$BY67,0))-14.65</f>
        <v>1023.52373472406</v>
      </c>
      <c r="BD67" s="105" t="n">
        <f aca="false">IF(ISERROR(HLOOKUP(BD$41,Coms,$BY67,0)),60,HLOOKUP(BD$41,Coms,$BY67,0))-14.65</f>
        <v>1138.036725567</v>
      </c>
      <c r="BE67" s="105" t="n">
        <f aca="false">IF(ISERROR(HLOOKUP(BE$41,Coms,$BY67,0)),60,HLOOKUP(BE$41,Coms,$BY67,0))-14.65</f>
        <v>1137.94191602113</v>
      </c>
      <c r="BF67" s="105" t="n">
        <f aca="false">IF(ISERROR(HLOOKUP(BF$41,Coms,$BY67,0)),60,HLOOKUP(BF$41,Coms,$BY67,0))-14.65</f>
        <v>1057.45043367776</v>
      </c>
      <c r="BG67" s="105" t="n">
        <f aca="false">IF(ISERROR(HLOOKUP(BG$41,Coms,$BY67,0)),60,HLOOKUP(BG$41,Coms,$BY67,0))-14.65</f>
        <v>1058.1947571181</v>
      </c>
      <c r="BH67" s="105" t="n">
        <f aca="false">IF(ISERROR(HLOOKUP(BH$41,Coms,$BY67,0)),60,HLOOKUP(BH$41,Coms,$BY67,0))-14.65</f>
        <v>996.126796584</v>
      </c>
      <c r="BI67" s="105" t="n">
        <f aca="false">IF(ISERROR(HLOOKUP(BI$41,Coms,$BY67,0)),60,HLOOKUP(BI$41,Coms,$BY67,0))-14.65</f>
        <v>1064.21716495236</v>
      </c>
      <c r="BJ67" s="105" t="n">
        <f aca="false">IF(ISERROR(HLOOKUP(BJ$41,Coms,$BY67,0)),60,HLOOKUP(BJ$41,Coms,$BY67,0))-14.65</f>
        <v>45.35</v>
      </c>
      <c r="BK67" s="105" t="n">
        <f aca="false">IF(ISERROR(HLOOKUP(BK$41,Coms,$BY67,0)),60,HLOOKUP(BK$41,Coms,$BY67,0))-14.65</f>
        <v>45.35</v>
      </c>
      <c r="BL67" s="105" t="n">
        <f aca="false">IF(ISERROR(HLOOKUP(BL$41,Coms,$BY67,0)),60,HLOOKUP(BL$41,Coms,$BY67,0))-14.65</f>
        <v>45.35</v>
      </c>
      <c r="BM67" s="105" t="n">
        <f aca="false">IF(ISERROR(HLOOKUP(BM$41,Coms,$BY67,0)),60,HLOOKUP(BM$41,Coms,$BY67,0))-14.65</f>
        <v>45.35</v>
      </c>
      <c r="BN67" s="106" t="n">
        <f aca="false">IF(ISERROR(HLOOKUP(BN$41,Coms,$BY67,0)),60,HLOOKUP(BN$41,Coms,$BY67,0))-14.65</f>
        <v>45.35</v>
      </c>
      <c r="BY67" s="4" t="n">
        <v>12</v>
      </c>
    </row>
    <row r="68" customFormat="false" ht="15.75" hidden="false" customHeight="true" outlineLevel="0" collapsed="false">
      <c r="A68" s="110" t="s">
        <v>8</v>
      </c>
      <c r="B68" s="111" t="n">
        <f aca="false">IF(ISERROR(VLOOKUP(B41,Adjust,11,0)),0,IF($A72,VLOOKUP(B41,Adjust,11,0),VLOOKUP(B41,FlowCal,3,0)))</f>
        <v>84015.9</v>
      </c>
      <c r="C68" s="112" t="n">
        <f aca="false">IF(ISERROR(VLOOKUP(C41,Adjust,11,0)),0,IF($A72,VLOOKUP(C41,Adjust,11,0),VLOOKUP(C41,FlowCal,3,0)))</f>
        <v>0</v>
      </c>
      <c r="D68" s="112" t="n">
        <f aca="false">IF(ISERROR(VLOOKUP(D41,Adjust,11,0)),0,IF($A72,VLOOKUP(D41,Adjust,11,0),VLOOKUP(D41,FlowCal,3,0)))</f>
        <v>287535.81</v>
      </c>
      <c r="E68" s="112" t="n">
        <f aca="false">IF(ISERROR(VLOOKUP(E41,Adjust,11,0)),0,IF($A72,VLOOKUP(E41,Adjust,11,0),VLOOKUP(E41,FlowCal,3,0)))</f>
        <v>226763.72</v>
      </c>
      <c r="F68" s="112" t="n">
        <f aca="false">IF(ISERROR(VLOOKUP(F41,Adjust,11,0)),0,IF($A72,VLOOKUP(F41,Adjust,11,0),VLOOKUP(F41,FlowCal,3,0)))</f>
        <v>260982.1</v>
      </c>
      <c r="G68" s="112" t="n">
        <f aca="false">IF(ISERROR(VLOOKUP(G41,Adjust,11,0)),0,IF($A72,VLOOKUP(G41,Adjust,11,0),VLOOKUP(G41,FlowCal,3,0)))</f>
        <v>131921.42</v>
      </c>
      <c r="H68" s="112" t="n">
        <f aca="false">IF(ISERROR(VLOOKUP(H41,Adjust,11,0)),0,IF($A72,VLOOKUP(H41,Adjust,11,0),VLOOKUP(H41,FlowCal,3,0)))</f>
        <v>0</v>
      </c>
      <c r="I68" s="112" t="n">
        <f aca="false">IF(ISERROR(VLOOKUP(I41,Adjust,11,0)),0,IF($A72,VLOOKUP(I41,Adjust,11,0),VLOOKUP(I41,FlowCal,3,0)))</f>
        <v>325254.55</v>
      </c>
      <c r="J68" s="112" t="n">
        <f aca="false">IF(ISERROR(VLOOKUP(J41,Adjust,11,0)),0,IF($A72,VLOOKUP(J41,Adjust,11,0),VLOOKUP(J41,FlowCal,3,0)))</f>
        <v>66780.48</v>
      </c>
      <c r="K68" s="112" t="n">
        <f aca="false">IF(ISERROR(VLOOKUP(K41,Adjust,11,0)),0,IF($A72,VLOOKUP(K41,Adjust,11,0),VLOOKUP(K41,FlowCal,3,0)))</f>
        <v>390995.13</v>
      </c>
      <c r="L68" s="112" t="n">
        <f aca="false">IF(ISERROR(VLOOKUP(L41,Adjust,11,0)),0,IF($A72,VLOOKUP(L41,Adjust,11,0),VLOOKUP(L41,FlowCal,3,0)))</f>
        <v>475522.56</v>
      </c>
      <c r="M68" s="112" t="n">
        <f aca="false">IF(ISERROR(VLOOKUP(M41,Adjust,11,0)),0,IF($A72,VLOOKUP(M41,Adjust,11,0),VLOOKUP(M41,FlowCal,3,0)))</f>
        <v>522485.52</v>
      </c>
      <c r="N68" s="113" t="n">
        <f aca="false">IF(ISERROR(VLOOKUP(N41,Adjust,11,0)),0,IF($A72,VLOOKUP(N41,Adjust,11,0),VLOOKUP(N41,FlowCal,3,0)))</f>
        <v>786056.19</v>
      </c>
      <c r="O68" s="114" t="n">
        <f aca="false">IF(ISERROR(VLOOKUP(O41,Adjust,11,0)),0,IF($A72,VLOOKUP(O41,Adjust,11,0),VLOOKUP(O41,FlowCal,3,0)))</f>
        <v>62525.86</v>
      </c>
      <c r="P68" s="115" t="n">
        <f aca="false">IF(ISERROR(VLOOKUP(P41,Adjust,11,0)),0,IF($A72,VLOOKUP(P41,Adjust,11,0),VLOOKUP(P41,FlowCal,3,0)))</f>
        <v>397018.39</v>
      </c>
      <c r="Q68" s="115" t="n">
        <f aca="false">IF(ISERROR(VLOOKUP(Q41,Adjust,11,0)),0,IF($A72,VLOOKUP(Q41,Adjust,11,0),VLOOKUP(Q41,FlowCal,3,0)))</f>
        <v>166498.74</v>
      </c>
      <c r="R68" s="115" t="n">
        <f aca="false">IF(ISERROR(VLOOKUP(R41,Adjust,11,0)),0,IF($A72,VLOOKUP(R41,Adjust,11,0),VLOOKUP(R41,FlowCal,3,0)))</f>
        <v>0</v>
      </c>
      <c r="S68" s="115" t="n">
        <f aca="false">IF(ISERROR(VLOOKUP(S41,Adjust,11,0)),0,IF($A72,VLOOKUP(S41,Adjust,11,0),VLOOKUP(S41,FlowCal,3,0)))</f>
        <v>0</v>
      </c>
      <c r="T68" s="115" t="n">
        <f aca="false">IF(ISERROR(VLOOKUP(T41,Adjust,11,0)),0,IF($A72,VLOOKUP(T41,Adjust,11,0),VLOOKUP(T41,FlowCal,3,0)))</f>
        <v>46376.34</v>
      </c>
      <c r="U68" s="115" t="n">
        <f aca="false">IF(ISERROR(VLOOKUP(U41,Adjust,11,0)),0,IF($A72,VLOOKUP(U41,Adjust,11,0),VLOOKUP(U41,FlowCal,3,0)))</f>
        <v>0</v>
      </c>
      <c r="V68" s="115" t="n">
        <f aca="false">IF(ISERROR(VLOOKUP(V41,Adjust,11,0)),0,IF($A72,VLOOKUP(V41,Adjust,11,0),VLOOKUP(V41,FlowCal,3,0)))</f>
        <v>16278.35</v>
      </c>
      <c r="W68" s="115" t="n">
        <f aca="false">IF(ISERROR(VLOOKUP(W41,Adjust,11,0)),0,IF($A72,VLOOKUP(W41,Adjust,11,0),VLOOKUP(W41,FlowCal,3,0)))</f>
        <v>12576.36</v>
      </c>
      <c r="X68" s="115" t="n">
        <f aca="false">IF(ISERROR(VLOOKUP(X41,Adjust,11,0)),0,IF($A72,VLOOKUP(X41,Adjust,11,0),VLOOKUP(X41,FlowCal,3,0)))</f>
        <v>24861.69</v>
      </c>
      <c r="Y68" s="115" t="n">
        <f aca="false">IF(ISERROR(VLOOKUP(Y41,Adjust,11,0)),0,IF($A72,VLOOKUP(Y41,Adjust,11,0),VLOOKUP(Y41,FlowCal,3,0)))</f>
        <v>8689.66</v>
      </c>
      <c r="Z68" s="115" t="n">
        <f aca="false">IF(ISERROR(VLOOKUP(Z41,Adjust,11,0)),0,IF($A72,VLOOKUP(Z41,Adjust,11,0),VLOOKUP(Z41,FlowCal,3,0)))</f>
        <v>411540.2</v>
      </c>
      <c r="AA68" s="116" t="n">
        <f aca="false">IF(ISERROR(VLOOKUP(AA41,Adjust,11,0)),0,IF($A72,VLOOKUP(AA41,Adjust,11,0),VLOOKUP(AA41,FlowCal,3,0)))</f>
        <v>279240.52</v>
      </c>
      <c r="AB68" s="111" t="n">
        <f aca="false">IF(ISERROR(VLOOKUP(AB41,Adjust,11,0)),0,IF($A72,VLOOKUP(AB41,Adjust,11,0),VLOOKUP(AB41,FlowCal,3,0)))</f>
        <v>346861.43</v>
      </c>
      <c r="AC68" s="112" t="n">
        <f aca="false">IF(ISERROR(VLOOKUP(AC41,Adjust,11,0)),0,IF($A72,VLOOKUP(AC41,Adjust,11,0),VLOOKUP(AC41,FlowCal,3,0)))</f>
        <v>294377.62</v>
      </c>
      <c r="AD68" s="112" t="n">
        <f aca="false">IF(ISERROR(VLOOKUP(AD41,Adjust,11,0)),0,IF($A72,VLOOKUP(AD41,Adjust,11,0),VLOOKUP(AD41,FlowCal,3,0)))</f>
        <v>164104.08</v>
      </c>
      <c r="AE68" s="112" t="n">
        <f aca="false">IF(ISERROR(VLOOKUP(AE41,Adjust,11,0)),0,IF($A72,VLOOKUP(AE41,Adjust,11,0),VLOOKUP(AE41,FlowCal,3,0)))</f>
        <v>0</v>
      </c>
      <c r="AF68" s="112" t="n">
        <f aca="false">IF(ISERROR(VLOOKUP(AF41,Adjust,11,0)),0,IF($A72,VLOOKUP(AF41,Adjust,11,0),VLOOKUP(AF41,FlowCal,3,0)))</f>
        <v>45361.55</v>
      </c>
      <c r="AG68" s="112" t="n">
        <f aca="false">IF(ISERROR(VLOOKUP(AG41,Adjust,11,0)),0,IF($A72,VLOOKUP(AG41,Adjust,11,0),VLOOKUP(AG41,FlowCal,3,0)))</f>
        <v>815353.24</v>
      </c>
      <c r="AH68" s="112" t="n">
        <f aca="false">IF(ISERROR(VLOOKUP(AH41,Adjust,11,0)),0,IF($A72,VLOOKUP(AH41,Adjust,11,0),VLOOKUP(AH41,FlowCal,3,0)))</f>
        <v>70367.31</v>
      </c>
      <c r="AI68" s="112" t="n">
        <f aca="false">IF(ISERROR(VLOOKUP(AI41,Adjust,11,0)),0,IF($A72,VLOOKUP(AI41,Adjust,11,0),VLOOKUP(AI41,FlowCal,3,0)))</f>
        <v>0</v>
      </c>
      <c r="AJ68" s="112" t="n">
        <f aca="false">IF(ISERROR(VLOOKUP(AJ41,Adjust,11,0)),0,IF($A72,VLOOKUP(AJ41,Adjust,11,0),VLOOKUP(AJ41,FlowCal,3,0)))</f>
        <v>0</v>
      </c>
      <c r="AK68" s="112" t="n">
        <f aca="false">IF(ISERROR(VLOOKUP(AK41,Adjust,11,0)),0,IF($A72,VLOOKUP(AK41,Adjust,11,0),VLOOKUP(AK41,FlowCal,3,0)))</f>
        <v>0</v>
      </c>
      <c r="AL68" s="112" t="n">
        <f aca="false">IF(ISERROR(VLOOKUP(AL41,Adjust,11,0)),0,IF($A72,VLOOKUP(AL41,Adjust,11,0),VLOOKUP(AL41,FlowCal,3,0)))</f>
        <v>0</v>
      </c>
      <c r="AM68" s="112" t="n">
        <f aca="false">IF(ISERROR(VLOOKUP(AM41,Adjust,11,0)),0,IF($A72,VLOOKUP(AM41,Adjust,11,0),VLOOKUP(AM41,FlowCal,3,0)))</f>
        <v>0</v>
      </c>
      <c r="AN68" s="113" t="n">
        <f aca="false">IF(ISERROR(VLOOKUP(AN41,Adjust,11,0)),0,IF($A72,VLOOKUP(AN41,Adjust,11,0),VLOOKUP(AN41,FlowCal,3,0)))</f>
        <v>0</v>
      </c>
      <c r="AO68" s="114" t="n">
        <f aca="false">IF(ISERROR(VLOOKUP(AO41,Adjust,11,0)),0,IF($A72,VLOOKUP(AO41,Adjust,11,0),VLOOKUP(AO41,FlowCal,3,0)))</f>
        <v>14399.14</v>
      </c>
      <c r="AP68" s="115" t="n">
        <f aca="false">IF(ISERROR(VLOOKUP(AP41,Adjust,11,0)),0,IF($A72,VLOOKUP(AP41,Adjust,11,0),VLOOKUP(AP41,FlowCal,3,0)))</f>
        <v>29648.04</v>
      </c>
      <c r="AQ68" s="115" t="n">
        <f aca="false">IF(ISERROR(VLOOKUP(AQ41,Adjust,11,0)),0,IF($A72,VLOOKUP(AQ41,Adjust,11,0),VLOOKUP(AQ41,FlowCal,3,0)))</f>
        <v>24409.81</v>
      </c>
      <c r="AR68" s="115" t="n">
        <f aca="false">IF(ISERROR(VLOOKUP(AR41,Adjust,11,0)),0,IF($A72,VLOOKUP(AR41,Adjust,11,0),VLOOKUP(AR41,FlowCal,3,0)))</f>
        <v>45054.18</v>
      </c>
      <c r="AS68" s="115" t="n">
        <f aca="false">IF(ISERROR(VLOOKUP(AS41,Adjust,11,0)),0,IF($A72,VLOOKUP(AS41,Adjust,11,0),VLOOKUP(AS41,FlowCal,3,0)))</f>
        <v>23172.18</v>
      </c>
      <c r="AT68" s="115" t="n">
        <f aca="false">IF(ISERROR(VLOOKUP(AT41,Adjust,11,0)),0,IF($A72,VLOOKUP(AT41,Adjust,11,0),VLOOKUP(AT41,FlowCal,3,0)))</f>
        <v>51042.07</v>
      </c>
      <c r="AU68" s="115" t="n">
        <f aca="false">IF(ISERROR(VLOOKUP(AU41,Adjust,11,0)),0,IF($A72,VLOOKUP(AU41,Adjust,11,0),VLOOKUP(AU41,FlowCal,3,0)))</f>
        <v>164470.78</v>
      </c>
      <c r="AV68" s="115" t="n">
        <f aca="false">IF(ISERROR(VLOOKUP(AV41,Adjust,11,0)),0,IF($A72,VLOOKUP(AV41,Adjust,11,0),VLOOKUP(AV41,FlowCal,3,0)))</f>
        <v>17299.87</v>
      </c>
      <c r="AW68" s="115" t="n">
        <f aca="false">IF(ISERROR(VLOOKUP(AW41,Adjust,11,0)),0,IF($A72,VLOOKUP(AW41,Adjust,11,0),VLOOKUP(AW41,FlowCal,3,0)))</f>
        <v>93835.16</v>
      </c>
      <c r="AX68" s="115" t="n">
        <f aca="false">IF(ISERROR(VLOOKUP(AX41,Adjust,11,0)),0,IF($A72,VLOOKUP(AX41,Adjust,11,0),VLOOKUP(AX41,FlowCal,3,0)))</f>
        <v>135025.2</v>
      </c>
      <c r="AY68" s="115" t="n">
        <f aca="false">IF(ISERROR(VLOOKUP(AY41,Adjust,11,0)),0,IF($A72,VLOOKUP(AY41,Adjust,11,0),VLOOKUP(AY41,FlowCal,3,0)))</f>
        <v>399850.83</v>
      </c>
      <c r="AZ68" s="115" t="n">
        <f aca="false">IF(ISERROR(VLOOKUP(AZ41,Adjust,11,0)),0,IF($A72,VLOOKUP(AZ41,Adjust,11,0),VLOOKUP(AZ41,FlowCal,3,0)))</f>
        <v>0</v>
      </c>
      <c r="BA68" s="116" t="n">
        <f aca="false">IF(ISERROR(VLOOKUP(BA41,Adjust,11,0)),0,IF($A72,VLOOKUP(BA41,Adjust,11,0),VLOOKUP(BA41,FlowCal,3,0)))</f>
        <v>0</v>
      </c>
      <c r="BB68" s="111" t="n">
        <f aca="false">IF(ISERROR(VLOOKUP(BB41,Adjust,11,0)),0,IF($A72,VLOOKUP(BB41,Adjust,11,0),VLOOKUP(BB41,FlowCal,3,0)))</f>
        <v>300611.73</v>
      </c>
      <c r="BC68" s="112" t="n">
        <f aca="false">IF(ISERROR(VLOOKUP(BC41,Adjust,11,0)),0,IF($A72,VLOOKUP(BC41,Adjust,11,0),VLOOKUP(BC41,FlowCal,3,0)))</f>
        <v>126383.28</v>
      </c>
      <c r="BD68" s="112" t="n">
        <f aca="false">IF(ISERROR(VLOOKUP(BD41,Adjust,11,0)),0,IF($A72,VLOOKUP(BD41,Adjust,11,0),VLOOKUP(BD41,FlowCal,3,0)))</f>
        <v>1151339.8</v>
      </c>
      <c r="BE68" s="112" t="n">
        <f aca="false">IF(ISERROR(VLOOKUP(BE41,Adjust,11,0)),0,IF($A72,VLOOKUP(BE41,Adjust,11,0),VLOOKUP(BE41,FlowCal,3,0)))</f>
        <v>131184.94</v>
      </c>
      <c r="BF68" s="112" t="n">
        <f aca="false">IF(ISERROR(VLOOKUP(BF41,Adjust,11,0)),0,IF($A72,VLOOKUP(BF41,Adjust,11,0),VLOOKUP(BF41,FlowCal,3,0)))</f>
        <v>0</v>
      </c>
      <c r="BG68" s="112" t="n">
        <f aca="false">IF(ISERROR(VLOOKUP(BG41,Adjust,11,0)),0,IF($A72,VLOOKUP(BG41,Adjust,11,0),VLOOKUP(BG41,FlowCal,3,0)))</f>
        <v>374548.34</v>
      </c>
      <c r="BH68" s="112" t="n">
        <f aca="false">IF(ISERROR(VLOOKUP(BH41,Adjust,11,0)),0,IF($A72,VLOOKUP(BH41,Adjust,11,0),VLOOKUP(BH41,FlowCal,3,0)))</f>
        <v>187564.33</v>
      </c>
      <c r="BI68" s="112" t="n">
        <f aca="false">IF(ISERROR(VLOOKUP(BI41,Adjust,11,0)),0,IF($A72,VLOOKUP(BI41,Adjust,11,0),VLOOKUP(BI41,FlowCal,3,0)))</f>
        <v>425503.15</v>
      </c>
      <c r="BJ68" s="112" t="n">
        <f aca="false">IF(ISERROR(VLOOKUP(BJ41,Adjust,11,0)),0,IF($A72,VLOOKUP(BJ41,Adjust,11,0),VLOOKUP(BJ41,FlowCal,3,0)))</f>
        <v>0</v>
      </c>
      <c r="BK68" s="112" t="n">
        <f aca="false">IF(ISERROR(VLOOKUP(BK41,Adjust,11,0)),0,IF($A72,VLOOKUP(BK41,Adjust,11,0),VLOOKUP(BK41,FlowCal,3,0)))</f>
        <v>0</v>
      </c>
      <c r="BL68" s="112" t="n">
        <f aca="false">IF(ISERROR(VLOOKUP(BL41,Adjust,11,0)),0,IF($A72,VLOOKUP(BL41,Adjust,11,0),VLOOKUP(BL41,FlowCal,3,0)))</f>
        <v>0</v>
      </c>
      <c r="BM68" s="112" t="n">
        <f aca="false">IF(ISERROR(VLOOKUP(BM41,Adjust,11,0)),0,IF($A72,VLOOKUP(BM41,Adjust,11,0),VLOOKUP(BM41,FlowCal,3,0)))</f>
        <v>0</v>
      </c>
      <c r="BN68" s="113" t="n">
        <f aca="false">IF(ISERROR(VLOOKUP(BN41,Adjust,11,0)),0,IF($A72,VLOOKUP(BN41,Adjust,11,0),VLOOKUP(BN41,FlowCal,3,0)))</f>
        <v>0</v>
      </c>
    </row>
    <row r="69" customFormat="false" ht="15.75" hidden="false" customHeight="true" outlineLevel="0" collapsed="false">
      <c r="B69" s="117" t="n">
        <f aca="false">IF(ISERROR(HLOOKUP(B$41,Coms,$BY69,0)),1,HLOOKUP(B$41,Coms,$BY69,0))</f>
        <v>15</v>
      </c>
      <c r="C69" s="117" t="n">
        <f aca="false">IF(ISERROR(HLOOKUP(C$41,Coms,$BY69,0)),1,HLOOKUP(C$41,Coms,$BY69,0))</f>
        <v>15</v>
      </c>
      <c r="D69" s="117" t="n">
        <f aca="false">IF(ISERROR(HLOOKUP(D$41,Coms,$BY69,0)),1,HLOOKUP(D$41,Coms,$BY69,0))</f>
        <v>15</v>
      </c>
      <c r="E69" s="117" t="n">
        <f aca="false">IF(ISERROR(HLOOKUP(E$41,Coms,$BY69,0)),1,HLOOKUP(E$41,Coms,$BY69,0))</f>
        <v>15</v>
      </c>
      <c r="F69" s="117" t="n">
        <f aca="false">IF(ISERROR(HLOOKUP(F$41,Coms,$BY69,0)),1,HLOOKUP(F$41,Coms,$BY69,0))</f>
        <v>15</v>
      </c>
      <c r="G69" s="117" t="n">
        <f aca="false">IF(ISERROR(HLOOKUP(G$41,Coms,$BY69,0)),1,HLOOKUP(G$41,Coms,$BY69,0))</f>
        <v>15</v>
      </c>
      <c r="H69" s="117" t="n">
        <f aca="false">IF(ISERROR(HLOOKUP(H$41,Coms,$BY69,0)),1,HLOOKUP(H$41,Coms,$BY69,0))</f>
        <v>15</v>
      </c>
      <c r="I69" s="117" t="n">
        <f aca="false">IF(ISERROR(HLOOKUP(I$41,Coms,$BY69,0)),1,HLOOKUP(I$41,Coms,$BY69,0))</f>
        <v>15</v>
      </c>
      <c r="J69" s="117" t="n">
        <f aca="false">IF(ISERROR(HLOOKUP(J$41,Coms,$BY69,0)),1,HLOOKUP(J$41,Coms,$BY69,0))</f>
        <v>12</v>
      </c>
      <c r="K69" s="117" t="n">
        <f aca="false">IF(ISERROR(HLOOKUP(K$41,Coms,$BY69,0)),1,HLOOKUP(K$41,Coms,$BY69,0))</f>
        <v>12</v>
      </c>
      <c r="L69" s="117" t="n">
        <f aca="false">IF(ISERROR(HLOOKUP(L$41,Coms,$BY69,0)),1,HLOOKUP(L$41,Coms,$BY69,0))</f>
        <v>12</v>
      </c>
      <c r="M69" s="117" t="n">
        <f aca="false">IF(ISERROR(HLOOKUP(M$41,Coms,$BY69,0)),1,HLOOKUP(M$41,Coms,$BY69,0))</f>
        <v>15</v>
      </c>
      <c r="N69" s="117" t="n">
        <f aca="false">IF(ISERROR(HLOOKUP(N$41,Coms,$BY69,0)),1,HLOOKUP(N$41,Coms,$BY69,0))</f>
        <v>12</v>
      </c>
      <c r="O69" s="118" t="n">
        <f aca="false">IF(ISERROR(HLOOKUP(O$41,Coms,$BY69,0)),1,HLOOKUP(O$41,Coms,$BY69,0))</f>
        <v>15</v>
      </c>
      <c r="P69" s="118" t="n">
        <f aca="false">IF(ISERROR(HLOOKUP(P$41,Coms,$BY69,0)),1,HLOOKUP(P$41,Coms,$BY69,0))</f>
        <v>14</v>
      </c>
      <c r="Q69" s="118" t="n">
        <f aca="false">IF(ISERROR(HLOOKUP(Q$41,Coms,$BY69,0)),1,HLOOKUP(Q$41,Coms,$BY69,0))</f>
        <v>14</v>
      </c>
      <c r="R69" s="118" t="n">
        <f aca="false">IF(ISERROR(HLOOKUP(R$41,Coms,$BY69,0)),1,HLOOKUP(R$41,Coms,$BY69,0))</f>
        <v>15</v>
      </c>
      <c r="S69" s="118" t="n">
        <f aca="false">IF(ISERROR(HLOOKUP(S$41,Coms,$BY69,0)),1,HLOOKUP(S$41,Coms,$BY69,0))</f>
        <v>1</v>
      </c>
      <c r="T69" s="118" t="n">
        <f aca="false">IF(ISERROR(HLOOKUP(T$41,Coms,$BY69,0)),1,HLOOKUP(T$41,Coms,$BY69,0))</f>
        <v>12</v>
      </c>
      <c r="U69" s="118" t="n">
        <f aca="false">IF(ISERROR(HLOOKUP(U$41,Coms,$BY69,0)),1,HLOOKUP(U$41,Coms,$BY69,0))</f>
        <v>1</v>
      </c>
      <c r="V69" s="118" t="n">
        <f aca="false">IF(ISERROR(HLOOKUP(V$41,Coms,$BY69,0)),1,HLOOKUP(V$41,Coms,$BY69,0))</f>
        <v>12</v>
      </c>
      <c r="W69" s="118" t="n">
        <f aca="false">IF(ISERROR(HLOOKUP(W$41,Coms,$BY69,0)),1,HLOOKUP(W$41,Coms,$BY69,0))</f>
        <v>15</v>
      </c>
      <c r="X69" s="118" t="n">
        <f aca="false">IF(ISERROR(HLOOKUP(X$41,Coms,$BY69,0)),1,HLOOKUP(X$41,Coms,$BY69,0))</f>
        <v>7</v>
      </c>
      <c r="Y69" s="118" t="n">
        <f aca="false">IF(ISERROR(HLOOKUP(Y$41,Coms,$BY69,0)),1,HLOOKUP(Y$41,Coms,$BY69,0))</f>
        <v>15</v>
      </c>
      <c r="Z69" s="118" t="n">
        <f aca="false">IF(ISERROR(HLOOKUP(Z$41,Coms,$BY69,0)),1,HLOOKUP(Z$41,Coms,$BY69,0))</f>
        <v>13</v>
      </c>
      <c r="AA69" s="118" t="n">
        <f aca="false">IF(ISERROR(HLOOKUP(AA$41,Coms,$BY69,0)),1,HLOOKUP(AA$41,Coms,$BY69,0))</f>
        <v>10</v>
      </c>
      <c r="AB69" s="117" t="n">
        <f aca="false">IF(ISERROR(HLOOKUP(AB$41,Coms,$BY69,0)),1,HLOOKUP(AB$41,Coms,$BY69,0))</f>
        <v>5</v>
      </c>
      <c r="AC69" s="117" t="n">
        <f aca="false">IF(ISERROR(HLOOKUP(AC$41,Coms,$BY69,0)),1,HLOOKUP(AC$41,Coms,$BY69,0))</f>
        <v>6</v>
      </c>
      <c r="AD69" s="117" t="n">
        <f aca="false">IF(ISERROR(HLOOKUP(AD$41,Coms,$BY69,0)),1,HLOOKUP(AD$41,Coms,$BY69,0))</f>
        <v>9</v>
      </c>
      <c r="AE69" s="117" t="n">
        <f aca="false">IF(ISERROR(HLOOKUP(AE$41,Coms,$BY69,0)),1,HLOOKUP(AE$41,Coms,$BY69,0))</f>
        <v>3</v>
      </c>
      <c r="AF69" s="117" t="n">
        <f aca="false">IF(ISERROR(HLOOKUP(AF$41,Coms,$BY69,0)),1,HLOOKUP(AF$41,Coms,$BY69,0))</f>
        <v>2</v>
      </c>
      <c r="AG69" s="117" t="n">
        <f aca="false">IF(ISERROR(HLOOKUP(AG$41,Coms,$BY69,0)),1,HLOOKUP(AG$41,Coms,$BY69,0))</f>
        <v>4</v>
      </c>
      <c r="AH69" s="117" t="n">
        <f aca="false">IF(ISERROR(HLOOKUP(AH$41,Coms,$BY69,0)),1,HLOOKUP(AH$41,Coms,$BY69,0))</f>
        <v>9</v>
      </c>
      <c r="AI69" s="117" t="n">
        <f aca="false">IF(ISERROR(HLOOKUP(AI$41,Coms,$BY69,0)),1,HLOOKUP(AI$41,Coms,$BY69,0))</f>
        <v>1</v>
      </c>
      <c r="AJ69" s="117" t="n">
        <f aca="false">IF(ISERROR(HLOOKUP(AJ$41,Coms,$BY69,0)),1,HLOOKUP(AJ$41,Coms,$BY69,0))</f>
        <v>1</v>
      </c>
      <c r="AK69" s="117" t="n">
        <f aca="false">IF(ISERROR(HLOOKUP(AK$41,Coms,$BY69,0)),1,HLOOKUP(AK$41,Coms,$BY69,0))</f>
        <v>1</v>
      </c>
      <c r="AL69" s="117" t="n">
        <f aca="false">IF(ISERROR(HLOOKUP(AL$41,Coms,$BY69,0)),1,HLOOKUP(AL$41,Coms,$BY69,0))</f>
        <v>1</v>
      </c>
      <c r="AM69" s="117" t="n">
        <f aca="false">IF(ISERROR(HLOOKUP(AM$41,Coms,$BY69,0)),1,HLOOKUP(AM$41,Coms,$BY69,0))</f>
        <v>1</v>
      </c>
      <c r="AN69" s="117" t="n">
        <f aca="false">IF(ISERROR(HLOOKUP(AN$41,Coms,$BY69,0)),1,HLOOKUP(AN$41,Coms,$BY69,0))</f>
        <v>1</v>
      </c>
      <c r="AO69" s="118" t="n">
        <f aca="false">IF(ISERROR(HLOOKUP(AO$41,Coms,$BY69,0)),1,HLOOKUP(AO$41,Coms,$BY69,0))</f>
        <v>8</v>
      </c>
      <c r="AP69" s="118" t="n">
        <f aca="false">IF(ISERROR(HLOOKUP(AP$41,Coms,$BY69,0)),1,HLOOKUP(AP$41,Coms,$BY69,0))</f>
        <v>6</v>
      </c>
      <c r="AQ69" s="118" t="n">
        <f aca="false">IF(ISERROR(HLOOKUP(AQ$41,Coms,$BY69,0)),1,HLOOKUP(AQ$41,Coms,$BY69,0))</f>
        <v>15</v>
      </c>
      <c r="AR69" s="118" t="n">
        <f aca="false">IF(ISERROR(HLOOKUP(AR$41,Coms,$BY69,0)),1,HLOOKUP(AR$41,Coms,$BY69,0))</f>
        <v>15</v>
      </c>
      <c r="AS69" s="118" t="n">
        <f aca="false">IF(ISERROR(HLOOKUP(AS$41,Coms,$BY69,0)),1,HLOOKUP(AS$41,Coms,$BY69,0))</f>
        <v>6</v>
      </c>
      <c r="AT69" s="118" t="n">
        <f aca="false">IF(ISERROR(HLOOKUP(AT$41,Coms,$BY69,0)),1,HLOOKUP(AT$41,Coms,$BY69,0))</f>
        <v>14</v>
      </c>
      <c r="AU69" s="118" t="n">
        <f aca="false">IF(ISERROR(HLOOKUP(AU$41,Coms,$BY69,0)),1,HLOOKUP(AU$41,Coms,$BY69,0))</f>
        <v>15</v>
      </c>
      <c r="AV69" s="118" t="n">
        <f aca="false">IF(ISERROR(HLOOKUP(AV$41,Coms,$BY69,0)),1,HLOOKUP(AV$41,Coms,$BY69,0))</f>
        <v>15</v>
      </c>
      <c r="AW69" s="118" t="n">
        <f aca="false">IF(ISERROR(HLOOKUP(AW$41,Coms,$BY69,0)),1,HLOOKUP(AW$41,Coms,$BY69,0))</f>
        <v>7</v>
      </c>
      <c r="AX69" s="118" t="n">
        <f aca="false">IF(ISERROR(HLOOKUP(AX$41,Coms,$BY69,0)),1,HLOOKUP(AX$41,Coms,$BY69,0))</f>
        <v>14</v>
      </c>
      <c r="AY69" s="118" t="n">
        <f aca="false">IF(ISERROR(HLOOKUP(AY$41,Coms,$BY69,0)),1,HLOOKUP(AY$41,Coms,$BY69,0))</f>
        <v>15</v>
      </c>
      <c r="AZ69" s="118" t="n">
        <f aca="false">IF(ISERROR(HLOOKUP(AZ$41,Coms,$BY69,0)),1,HLOOKUP(AZ$41,Coms,$BY69,0))</f>
        <v>1</v>
      </c>
      <c r="BA69" s="118" t="n">
        <f aca="false">IF(ISERROR(HLOOKUP(BA$41,Coms,$BY69,0)),1,HLOOKUP(BA$41,Coms,$BY69,0))</f>
        <v>1</v>
      </c>
      <c r="BB69" s="117" t="n">
        <f aca="false">IF(ISERROR(HLOOKUP(BB$41,Coms,$BY69,0)),1,HLOOKUP(BB$41,Coms,$BY69,0))</f>
        <v>9</v>
      </c>
      <c r="BC69" s="117" t="n">
        <f aca="false">IF(ISERROR(HLOOKUP(BC$41,Coms,$BY69,0)),1,HLOOKUP(BC$41,Coms,$BY69,0))</f>
        <v>4</v>
      </c>
      <c r="BD69" s="117" t="n">
        <f aca="false">IF(ISERROR(HLOOKUP(BD$41,Coms,$BY69,0)),1,HLOOKUP(BD$41,Coms,$BY69,0))</f>
        <v>7</v>
      </c>
      <c r="BE69" s="117" t="n">
        <f aca="false">IF(ISERROR(HLOOKUP(BE$41,Coms,$BY69,0)),1,HLOOKUP(BE$41,Coms,$BY69,0))</f>
        <v>7</v>
      </c>
      <c r="BF69" s="117" t="n">
        <f aca="false">IF(ISERROR(HLOOKUP(BF$41,Coms,$BY69,0)),1,HLOOKUP(BF$41,Coms,$BY69,0))</f>
        <v>4</v>
      </c>
      <c r="BG69" s="117" t="n">
        <f aca="false">IF(ISERROR(HLOOKUP(BG$41,Coms,$BY69,0)),1,HLOOKUP(BG$41,Coms,$BY69,0))</f>
        <v>6</v>
      </c>
      <c r="BH69" s="117" t="n">
        <f aca="false">IF(ISERROR(HLOOKUP(BH$41,Coms,$BY69,0)),1,HLOOKUP(BH$41,Coms,$BY69,0))</f>
        <v>1</v>
      </c>
      <c r="BI69" s="117" t="n">
        <f aca="false">IF(ISERROR(HLOOKUP(BI$41,Coms,$BY69,0)),1,HLOOKUP(BI$41,Coms,$BY69,0))</f>
        <v>6</v>
      </c>
      <c r="BJ69" s="117" t="n">
        <f aca="false">IF(ISERROR(HLOOKUP(BJ$41,Coms,$BY69,0)),1,HLOOKUP(BJ$41,Coms,$BY69,0))</f>
        <v>1</v>
      </c>
      <c r="BK69" s="117" t="n">
        <f aca="false">IF(ISERROR(HLOOKUP(BK$41,Coms,$BY69,0)),1,HLOOKUP(BK$41,Coms,$BY69,0))</f>
        <v>1</v>
      </c>
      <c r="BL69" s="117" t="n">
        <f aca="false">IF(ISERROR(HLOOKUP(BL$41,Coms,$BY69,0)),1,HLOOKUP(BL$41,Coms,$BY69,0))</f>
        <v>1</v>
      </c>
      <c r="BM69" s="117" t="n">
        <f aca="false">IF(ISERROR(HLOOKUP(BM$41,Coms,$BY69,0)),1,HLOOKUP(BM$41,Coms,$BY69,0))</f>
        <v>1</v>
      </c>
      <c r="BN69" s="117" t="n">
        <f aca="false">IF(ISERROR(HLOOKUP(BN$41,Coms,$BY69,0)),1,HLOOKUP(BN$41,Coms,$BY69,0))</f>
        <v>1</v>
      </c>
      <c r="BY69" s="4" t="n">
        <v>14</v>
      </c>
    </row>
    <row r="70" customFormat="false" ht="15.75" hidden="false" customHeight="true" outlineLevel="0" collapsed="false">
      <c r="A70" s="119" t="s">
        <v>33</v>
      </c>
      <c r="B70" s="120" t="e">
        <f aca="false">IF(ISERROR(HLOOKUP(B$41,Coms,$BY70,0)),0,C38 HLOOKUP(B$41,Coms,$BY70,0))</f>
        <v>#VALUE!</v>
      </c>
      <c r="C70" s="120" t="n">
        <f aca="false">IF(ISERROR(HLOOKUP(C$41,Coms,$BY70,0)),0,HLOOKUP(C$41,Coms,$BY70,0))</f>
        <v>0.01389</v>
      </c>
      <c r="D70" s="120" t="n">
        <f aca="false">IF(ISERROR(HLOOKUP(D$41,Coms,$BY70,0)),0,HLOOKUP(D$41,Coms,$BY70,0))</f>
        <v>0.00374</v>
      </c>
      <c r="E70" s="120" t="n">
        <f aca="false">IF(ISERROR(HLOOKUP(E$41,Coms,$BY70,0)),0,HLOOKUP(E$41,Coms,$BY70,0))</f>
        <v>0.00551</v>
      </c>
      <c r="F70" s="120" t="n">
        <f aca="false">IF(ISERROR(HLOOKUP(F$41,Coms,$BY70,0)),0,HLOOKUP(F$41,Coms,$BY70,0))</f>
        <v>0.00763</v>
      </c>
      <c r="G70" s="120" t="n">
        <f aca="false">IF(ISERROR(HLOOKUP(G$41,Coms,$BY70,0)),0,HLOOKUP(G$41,Coms,$BY70,0))</f>
        <v>0.00641</v>
      </c>
      <c r="H70" s="120" t="n">
        <f aca="false">IF(ISERROR(HLOOKUP(H$41,Coms,$BY70,0)),0,HLOOKUP(H$41,Coms,$BY70,0))</f>
        <v>0.00969999999999999</v>
      </c>
      <c r="I70" s="120" t="n">
        <f aca="false">IF(ISERROR(HLOOKUP(I$41,Coms,$BY70,0)),0,HLOOKUP(I$41,Coms,$BY70,0))</f>
        <v>0.0063</v>
      </c>
      <c r="J70" s="120" t="n">
        <f aca="false">IF(ISERROR(HLOOKUP(J$41,Coms,$BY70,0)),0,HLOOKUP(J$41,Coms,$BY70,0))</f>
        <v>0.01525</v>
      </c>
      <c r="K70" s="120" t="n">
        <f aca="false">IF(ISERROR(HLOOKUP(K$41,Coms,$BY70,0)),0,HLOOKUP(K$41,Coms,$BY70,0))</f>
        <v>0.01328</v>
      </c>
      <c r="L70" s="120" t="n">
        <f aca="false">IF(ISERROR(HLOOKUP(L$41,Coms,$BY70,0)),0,HLOOKUP(L$41,Coms,$BY70,0))</f>
        <v>0.01328</v>
      </c>
      <c r="M70" s="120" t="n">
        <f aca="false">IF(ISERROR(HLOOKUP(M$41,Coms,$BY70,0)),0,HLOOKUP(M$41,Coms,$BY70,0))</f>
        <v>0.00726</v>
      </c>
      <c r="N70" s="120" t="n">
        <f aca="false">IF(ISERROR(HLOOKUP(N$41,Coms,$BY70,0)),0,HLOOKUP(N$41,Coms,$BY70,0))</f>
        <v>0.00375</v>
      </c>
      <c r="O70" s="121" t="n">
        <f aca="false">IF(ISERROR(HLOOKUP(O$41,Coms,$BY70,0)),0,HLOOKUP(O$41,Coms,$BY70,0))</f>
        <v>0.0069</v>
      </c>
      <c r="P70" s="121" t="n">
        <f aca="false">IF(ISERROR(HLOOKUP(P$41,Coms,$BY70,0)),0,HLOOKUP(P$41,Coms,$BY70,0))</f>
        <v>0.01027</v>
      </c>
      <c r="Q70" s="121" t="n">
        <f aca="false">IF(ISERROR(HLOOKUP(Q$41,Coms,$BY70,0)),0,HLOOKUP(Q$41,Coms,$BY70,0))</f>
        <v>0.00674</v>
      </c>
      <c r="R70" s="121" t="n">
        <f aca="false">IF(ISERROR(HLOOKUP(R$41,Coms,$BY70,0)),0,HLOOKUP(R$41,Coms,$BY70,0))</f>
        <v>0.01394</v>
      </c>
      <c r="S70" s="121" t="n">
        <f aca="false">IF(ISERROR(HLOOKUP(S$41,Coms,$BY70,0)),0,HLOOKUP(S$41,Coms,$BY70,0))</f>
        <v>0.00493124065919838</v>
      </c>
      <c r="T70" s="121" t="n">
        <f aca="false">IF(ISERROR(HLOOKUP(T$41,Coms,$BY70,0)),0,HLOOKUP(T$41,Coms,$BY70,0))</f>
        <v>0.00836</v>
      </c>
      <c r="U70" s="121" t="n">
        <f aca="false">IF(ISERROR(HLOOKUP(U$41,Coms,$BY70,0)),0,HLOOKUP(U$41,Coms,$BY70,0))</f>
        <v>0.00132</v>
      </c>
      <c r="V70" s="121" t="n">
        <f aca="false">IF(ISERROR(HLOOKUP(V$41,Coms,$BY70,0)),0,HLOOKUP(V$41,Coms,$BY70,0))</f>
        <v>0.00882</v>
      </c>
      <c r="W70" s="121" t="n">
        <f aca="false">IF(ISERROR(HLOOKUP(W$41,Coms,$BY70,0)),0,HLOOKUP(W$41,Coms,$BY70,0))</f>
        <v>0.00605</v>
      </c>
      <c r="X70" s="121" t="n">
        <f aca="false">IF(ISERROR(HLOOKUP(X$41,Coms,$BY70,0)),0,HLOOKUP(X$41,Coms,$BY70,0))</f>
        <v>0.01044</v>
      </c>
      <c r="Y70" s="121" t="n">
        <f aca="false">IF(ISERROR(HLOOKUP(Y$41,Coms,$BY70,0)),0,HLOOKUP(Y$41,Coms,$BY70,0))</f>
        <v>0.00573</v>
      </c>
      <c r="Z70" s="121" t="n">
        <f aca="false">IF(ISERROR(HLOOKUP(Z$41,Coms,$BY70,0)),0,HLOOKUP(Z$41,Coms,$BY70,0))</f>
        <v>0.00834</v>
      </c>
      <c r="AA70" s="121" t="n">
        <f aca="false">IF(ISERROR(HLOOKUP(AA$41,Coms,$BY70,0)),0,HLOOKUP(AA$41,Coms,$BY70,0))</f>
        <v>0.00973</v>
      </c>
      <c r="AB70" s="120" t="n">
        <f aca="false">IF(ISERROR(HLOOKUP(AB$41,Coms,$BY70,0)),0,HLOOKUP(AB$41,Coms,$BY70,0))</f>
        <v>0.00617121662503194</v>
      </c>
      <c r="AC70" s="120" t="n">
        <f aca="false">IF(ISERROR(HLOOKUP(AC$41,Coms,$BY70,0)),0,HLOOKUP(AC$41,Coms,$BY70,0))</f>
        <v>0.0061644259669184</v>
      </c>
      <c r="AD70" s="120" t="n">
        <f aca="false">IF(ISERROR(HLOOKUP(AD$41,Coms,$BY70,0)),0,HLOOKUP(AD$41,Coms,$BY70,0))</f>
        <v>0.00501478798721726</v>
      </c>
      <c r="AE70" s="120" t="n">
        <f aca="false">IF(ISERROR(HLOOKUP(AE$41,Coms,$BY70,0)),0,HLOOKUP(AE$41,Coms,$BY70,0))</f>
        <v>0.00431</v>
      </c>
      <c r="AF70" s="120" t="n">
        <f aca="false">IF(ISERROR(HLOOKUP(AF$41,Coms,$BY70,0)),0,HLOOKUP(AF$41,Coms,$BY70,0))</f>
        <v>0.00431</v>
      </c>
      <c r="AG70" s="120" t="n">
        <f aca="false">IF(ISERROR(HLOOKUP(AG$41,Coms,$BY70,0)),0,HLOOKUP(AG$41,Coms,$BY70,0))</f>
        <v>0.00566691364893962</v>
      </c>
      <c r="AH70" s="120" t="n">
        <f aca="false">IF(ISERROR(HLOOKUP(AH$41,Coms,$BY70,0)),0,HLOOKUP(AH$41,Coms,$BY70,0))</f>
        <v>0.00462</v>
      </c>
      <c r="AI70" s="120" t="n">
        <f aca="false">IF(ISERROR(HLOOKUP(AI$41,Coms,$BY70,0)),0,HLOOKUP(AI$41,Coms,$BY70,0))</f>
        <v>0</v>
      </c>
      <c r="AJ70" s="120" t="n">
        <f aca="false">IF(ISERROR(HLOOKUP(AJ$41,Coms,$BY70,0)),0,HLOOKUP(AJ$41,Coms,$BY70,0))</f>
        <v>0</v>
      </c>
      <c r="AK70" s="120" t="n">
        <f aca="false">IF(ISERROR(HLOOKUP(AK$41,Coms,$BY70,0)),0,HLOOKUP(AK$41,Coms,$BY70,0))</f>
        <v>0</v>
      </c>
      <c r="AL70" s="120" t="n">
        <f aca="false">IF(ISERROR(HLOOKUP(AL$41,Coms,$BY70,0)),0,HLOOKUP(AL$41,Coms,$BY70,0))</f>
        <v>0</v>
      </c>
      <c r="AM70" s="120" t="n">
        <f aca="false">IF(ISERROR(HLOOKUP(AM$41,Coms,$BY70,0)),0,HLOOKUP(AM$41,Coms,$BY70,0))</f>
        <v>0</v>
      </c>
      <c r="AN70" s="120" t="n">
        <f aca="false">IF(ISERROR(HLOOKUP(AN$41,Coms,$BY70,0)),0,HLOOKUP(AN$41,Coms,$BY70,0))</f>
        <v>0</v>
      </c>
      <c r="AO70" s="121" t="n">
        <f aca="false">IF(ISERROR(HLOOKUP(AO$41,Coms,$BY70,0)),0,HLOOKUP(AO$41,Coms,$BY70,0))</f>
        <v>0.01107</v>
      </c>
      <c r="AP70" s="121" t="n">
        <f aca="false">IF(ISERROR(HLOOKUP(AP$41,Coms,$BY70,0)),0,HLOOKUP(AP$41,Coms,$BY70,0))</f>
        <v>0.01351</v>
      </c>
      <c r="AQ70" s="121" t="n">
        <f aca="false">IF(ISERROR(HLOOKUP(AQ$41,Coms,$BY70,0)),0,HLOOKUP(AQ$41,Coms,$BY70,0))</f>
        <v>0.00938</v>
      </c>
      <c r="AR70" s="121" t="n">
        <f aca="false">IF(ISERROR(HLOOKUP(AR$41,Coms,$BY70,0)),0,HLOOKUP(AR$41,Coms,$BY70,0))</f>
        <v>0.01158</v>
      </c>
      <c r="AS70" s="121" t="n">
        <f aca="false">IF(ISERROR(HLOOKUP(AS$41,Coms,$BY70,0)),0,HLOOKUP(AS$41,Coms,$BY70,0))</f>
        <v>0.02704</v>
      </c>
      <c r="AT70" s="121" t="n">
        <f aca="false">IF(ISERROR(HLOOKUP(AT$41,Coms,$BY70,0)),0,HLOOKUP(AT$41,Coms,$BY70,0))</f>
        <v>0.01265</v>
      </c>
      <c r="AU70" s="121" t="n">
        <f aca="false">IF(ISERROR(HLOOKUP(AU$41,Coms,$BY70,0)),0,HLOOKUP(AU$41,Coms,$BY70,0))</f>
        <v>0.00716</v>
      </c>
      <c r="AV70" s="121" t="n">
        <f aca="false">IF(ISERROR(HLOOKUP(AV$41,Coms,$BY70,0)),0,HLOOKUP(AV$41,Coms,$BY70,0))</f>
        <v>0.00775</v>
      </c>
      <c r="AW70" s="121" t="n">
        <f aca="false">IF(ISERROR(HLOOKUP(AW$41,Coms,$BY70,0)),0,HLOOKUP(AW$41,Coms,$BY70,0))</f>
        <v>0.02337</v>
      </c>
      <c r="AX70" s="121" t="n">
        <f aca="false">IF(ISERROR(HLOOKUP(AX$41,Coms,$BY70,0)),0,HLOOKUP(AX$41,Coms,$BY70,0))</f>
        <v>0.01746</v>
      </c>
      <c r="AY70" s="121" t="n">
        <f aca="false">IF(ISERROR(HLOOKUP(AY$41,Coms,$BY70,0)),0,HLOOKUP(AY$41,Coms,$BY70,0))</f>
        <v>0.01136</v>
      </c>
      <c r="AZ70" s="121" t="n">
        <f aca="false">IF(ISERROR(HLOOKUP(AZ$41,Coms,$BY70,0)),0,HLOOKUP(AZ$41,Coms,$BY70,0))</f>
        <v>0</v>
      </c>
      <c r="BA70" s="121" t="n">
        <f aca="false">IF(ISERROR(HLOOKUP(BA$41,Coms,$BY70,0)),0,HLOOKUP(BA$41,Coms,$BY70,0))</f>
        <v>0</v>
      </c>
      <c r="BB70" s="120" t="n">
        <f aca="false">IF(ISERROR(HLOOKUP(BB$41,Coms,$BY70,0)),0,HLOOKUP(BB$41,Coms,$BY70,0))</f>
        <v>0.00636</v>
      </c>
      <c r="BC70" s="120" t="n">
        <f aca="false">IF(ISERROR(HLOOKUP(BC$41,Coms,$BY70,0)),0,HLOOKUP(BC$41,Coms,$BY70,0))</f>
        <v>0.00522</v>
      </c>
      <c r="BD70" s="120" t="n">
        <f aca="false">IF(ISERROR(HLOOKUP(BD$41,Coms,$BY70,0)),0,HLOOKUP(BD$41,Coms,$BY70,0))</f>
        <v>0.00637607646682903</v>
      </c>
      <c r="BE70" s="120" t="n">
        <f aca="false">IF(ISERROR(HLOOKUP(BE$41,Coms,$BY70,0)),0,HLOOKUP(BE$41,Coms,$BY70,0))</f>
        <v>0.00637677696725122</v>
      </c>
      <c r="BF70" s="120" t="n">
        <f aca="false">IF(ISERROR(HLOOKUP(BF$41,Coms,$BY70,0)),0,HLOOKUP(BF$41,Coms,$BY70,0))</f>
        <v>0.00589</v>
      </c>
      <c r="BG70" s="120" t="n">
        <f aca="false">IF(ISERROR(HLOOKUP(BG$41,Coms,$BY70,0)),0,HLOOKUP(BG$41,Coms,$BY70,0))</f>
        <v>0.00589</v>
      </c>
      <c r="BH70" s="120" t="n">
        <f aca="false">IF(ISERROR(HLOOKUP(BH$41,Coms,$BY70,0)),0,HLOOKUP(BH$41,Coms,$BY70,0))</f>
        <v>0.01131</v>
      </c>
      <c r="BI70" s="120" t="n">
        <f aca="false">IF(ISERROR(HLOOKUP(BI$41,Coms,$BY70,0)),0,HLOOKUP(BI$41,Coms,$BY70,0))</f>
        <v>0.00401</v>
      </c>
      <c r="BJ70" s="120" t="n">
        <f aca="false">IF(ISERROR(HLOOKUP(BJ$41,Coms,$BY70,0)),0,HLOOKUP(BJ$41,Coms,$BY70,0))</f>
        <v>0</v>
      </c>
      <c r="BK70" s="120" t="n">
        <f aca="false">IF(ISERROR(HLOOKUP(BK$41,Coms,$BY70,0)),0,HLOOKUP(BK$41,Coms,$BY70,0))</f>
        <v>0</v>
      </c>
      <c r="BL70" s="120" t="n">
        <f aca="false">IF(ISERROR(HLOOKUP(BL$41,Coms,$BY70,0)),0,HLOOKUP(BL$41,Coms,$BY70,0))</f>
        <v>0</v>
      </c>
      <c r="BM70" s="120" t="n">
        <f aca="false">IF(ISERROR(HLOOKUP(BM$41,Coms,$BY70,0)),0,HLOOKUP(BM$41,Coms,$BY70,0))</f>
        <v>0</v>
      </c>
      <c r="BN70" s="120" t="n">
        <f aca="false">IF(ISERROR(HLOOKUP(BN$41,Coms,$BY70,0)),0,HLOOKUP(BN$41,Coms,$BY70,0))</f>
        <v>0</v>
      </c>
      <c r="BY70" s="4" t="n">
        <v>11</v>
      </c>
    </row>
    <row r="71" customFormat="false" ht="15.75" hidden="false" customHeight="true" outlineLevel="0" collapsed="false">
      <c r="BY71" s="4" t="n">
        <v>16</v>
      </c>
    </row>
    <row r="72" customFormat="false" ht="15.75" hidden="false" customHeight="true" outlineLevel="0" collapsed="false">
      <c r="A72" s="4" t="n">
        <f aca="false">FALSE()</f>
        <v>0</v>
      </c>
      <c r="BY72" s="4" t="n">
        <v>17</v>
      </c>
    </row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conditionalFormatting sqref="B4:BI4">
    <cfRule type="cellIs" priority="2" operator="equal" aboveAverage="0" equalAverage="0" bottom="0" percent="0" rank="0" text="" dxfId="1">
      <formula>999</formula>
    </cfRule>
  </conditionalFormatting>
  <conditionalFormatting sqref="B36:BI36">
    <cfRule type="cellIs" priority="3" operator="notBetween" aboveAverage="0" equalAverage="0" bottom="0" percent="0" rank="0" text="" dxfId="2">
      <formula>99.98</formula>
      <formula>100.02</formula>
    </cfRule>
  </conditionalFormatting>
  <conditionalFormatting sqref="B15:BI16">
    <cfRule type="cellIs" priority="4" operator="lessThan" aboveAverage="0" equalAverage="0" bottom="0" percent="0" rank="0" text="" dxfId="1">
      <formula>25</formula>
    </cfRule>
  </conditionalFormatting>
  <conditionalFormatting sqref="B51:BN65">
    <cfRule type="cellIs" priority="5" operator="greaterThan" aboveAverage="0" equalAverage="0" bottom="0" percent="0" rank="0" text="" dxfId="3">
      <formula>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10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ColWidth="14.453125" defaultRowHeight="13.8" zeroHeight="false" outlineLevelRow="0" outlineLevelCol="0"/>
  <cols>
    <col collapsed="false" customWidth="true" hidden="false" outlineLevel="0" max="1" min="1" style="0" width="8.7"/>
    <col collapsed="false" customWidth="true" hidden="false" outlineLevel="0" max="2" min="2" style="0" width="25.86"/>
    <col collapsed="false" customWidth="true" hidden="false" outlineLevel="0" max="3" min="3" style="0" width="18.57"/>
    <col collapsed="false" customWidth="true" hidden="false" outlineLevel="0" max="5" min="4" style="0" width="8.7"/>
    <col collapsed="false" customWidth="true" hidden="false" outlineLevel="0" max="6" min="6" style="0" width="34.71"/>
    <col collapsed="false" customWidth="true" hidden="false" outlineLevel="0" max="7" min="7" style="0" width="14.14"/>
    <col collapsed="false" customWidth="true" hidden="false" outlineLevel="0" max="8" min="8" style="0" width="10.43"/>
    <col collapsed="false" customWidth="true" hidden="false" outlineLevel="0" max="9" min="9" style="0" width="8.85"/>
    <col collapsed="false" customWidth="true" hidden="false" outlineLevel="0" max="10" min="10" style="0" width="39.57"/>
    <col collapsed="false" customWidth="true" hidden="false" outlineLevel="0" max="11" min="11" style="0" width="9.29"/>
    <col collapsed="false" customWidth="true" hidden="false" outlineLevel="0" max="12" min="12" style="0" width="9.57"/>
    <col collapsed="false" customWidth="true" hidden="false" outlineLevel="0" max="14" min="13" style="0" width="8.7"/>
    <col collapsed="false" customWidth="true" hidden="false" outlineLevel="0" max="15" min="15" style="0" width="9.57"/>
    <col collapsed="false" customWidth="true" hidden="false" outlineLevel="0" max="18" min="16" style="0" width="8.7"/>
    <col collapsed="false" customWidth="true" hidden="false" outlineLevel="0" max="20" min="19" style="0" width="18.57"/>
    <col collapsed="false" customWidth="true" hidden="false" outlineLevel="0" max="22" min="21" style="0" width="20.14"/>
    <col collapsed="false" customWidth="true" hidden="false" outlineLevel="0" max="23" min="23" style="0" width="8"/>
    <col collapsed="false" customWidth="true" hidden="false" outlineLevel="0" max="26" min="24" style="0" width="8.7"/>
  </cols>
  <sheetData>
    <row r="1" customFormat="false" ht="15" hidden="false" customHeight="false" outlineLevel="0" collapsed="false"/>
    <row r="2" customFormat="false" ht="13.8" hidden="false" customHeight="false" outlineLevel="0" collapsed="false">
      <c r="B2" s="122" t="s">
        <v>104</v>
      </c>
      <c r="C2" s="4" t="s">
        <v>8</v>
      </c>
      <c r="J2" s="122" t="s">
        <v>105</v>
      </c>
      <c r="O2" s="122" t="s">
        <v>106</v>
      </c>
      <c r="S2" s="122" t="s">
        <v>107</v>
      </c>
    </row>
    <row r="3" customFormat="false" ht="13.8" hidden="false" customHeight="false" outlineLevel="0" collapsed="false">
      <c r="A3" s="4" t="s">
        <v>108</v>
      </c>
      <c r="B3" s="4" t="str">
        <f aca="false">VLOOKUP(A3,WorkData,2,0)</f>
        <v>Welcome To Golden BuyBack</v>
      </c>
      <c r="C3" s="4" t="n">
        <f aca="false">IF(ISERROR(VLOOKUP(A3,WorkData,3,0)),0,VLOOKUP(A3,WorkData,3,0))</f>
        <v>243134.31</v>
      </c>
      <c r="I3" s="4" t="s">
        <v>109</v>
      </c>
      <c r="J3" s="4" t="str">
        <f aca="false">VLOOKUP(I3,WorkData,2,0)</f>
        <v>University Discharge</v>
      </c>
      <c r="K3" s="49" t="n">
        <f aca="false">IF(ISERROR(VLOOKUP(I3,WorkData,6,0)),0,VLOOKUP(I3,WorkData,6,0))</f>
        <v>100.461464189783</v>
      </c>
      <c r="L3" s="49" t="n">
        <f aca="false">IF(ISERROR(VLOOKUP(I3,WorkData,5,0)),0,VLOOKUP(I3,WorkData,5,0))-14.65</f>
        <v>1035.92580778481</v>
      </c>
      <c r="N3" s="4" t="s">
        <v>110</v>
      </c>
      <c r="O3" s="4" t="str">
        <f aca="false">VLOOKUP(N3,WorkData,2,0)</f>
        <v>Pecos BOP Fuel #3</v>
      </c>
      <c r="P3" s="4" t="n">
        <f aca="false">IF(ISERROR(VLOOKUP(N3,WorkData,3,0)),0,VLOOKUP(N3,WorkData,3,0))</f>
        <v>14056.53</v>
      </c>
      <c r="S3" s="4" t="s">
        <v>111</v>
      </c>
      <c r="T3" s="4" t="s">
        <v>112</v>
      </c>
      <c r="U3" s="4" t="s">
        <v>113</v>
      </c>
      <c r="V3" s="4" t="s">
        <v>114</v>
      </c>
    </row>
    <row r="4" customFormat="false" ht="13.8" hidden="false" customHeight="false" outlineLevel="0" collapsed="false">
      <c r="A4" s="4" t="s">
        <v>115</v>
      </c>
      <c r="B4" s="4" t="str">
        <f aca="false">VLOOKUP(A4,WorkData,2,0)</f>
        <v>Pliny The Elder BuyBack</v>
      </c>
      <c r="C4" s="4" t="n">
        <f aca="false">IF(ISERROR(VLOOKUP(A4,WorkData,3,0)),0,VLOOKUP(A4,WorkData,3,0))</f>
        <v>76284.56</v>
      </c>
      <c r="I4" s="4" t="s">
        <v>116</v>
      </c>
      <c r="J4" s="4" t="s">
        <v>117</v>
      </c>
      <c r="K4" s="49" t="n">
        <f aca="false">IF(ISERROR(VLOOKUP(I4,WorkData,6,0)),0,VLOOKUP(I4,WorkData,6,0))</f>
        <v>111.845480905503</v>
      </c>
      <c r="L4" s="49" t="n">
        <f aca="false">IF(ISERROR(VLOOKUP(I4,WorkData,5,0)),0,VLOOKUP(I4,WorkData,5,0))-14.65</f>
        <v>1027.25986910223</v>
      </c>
      <c r="N4" s="4" t="s">
        <v>118</v>
      </c>
      <c r="O4" s="4" t="str">
        <f aca="false">VLOOKUP(N4,WorkData,2,0)</f>
        <v>Pecos 1 LP Fuel</v>
      </c>
      <c r="P4" s="4" t="n">
        <f aca="false">IF(ISERROR(VLOOKUP(N4,WorkData,3,0)),0,VLOOKUP(N4,WorkData,3,0))</f>
        <v>9614.86</v>
      </c>
      <c r="S4" s="4" t="s">
        <v>119</v>
      </c>
      <c r="T4" s="4" t="s">
        <v>120</v>
      </c>
      <c r="U4" s="4" t="s">
        <v>121</v>
      </c>
      <c r="V4" s="4" t="s">
        <v>122</v>
      </c>
    </row>
    <row r="5" customFormat="false" ht="13.8" hidden="false" customHeight="false" outlineLevel="0" collapsed="false">
      <c r="A5" s="4" t="s">
        <v>123</v>
      </c>
      <c r="B5" s="4" t="str">
        <f aca="false">VLOOKUP(A5,WorkData,2,0)</f>
        <v>Nailed It A BuyBack</v>
      </c>
      <c r="C5" s="4" t="n">
        <f aca="false">IF(ISERROR(VLOOKUP(A5,WorkData,3,0)),0,VLOOKUP(A5,WorkData,3,0))</f>
        <v>198846.02</v>
      </c>
      <c r="I5" s="4" t="s">
        <v>124</v>
      </c>
      <c r="J5" s="4" t="s">
        <v>125</v>
      </c>
      <c r="K5" s="49" t="n">
        <f aca="false">IF(ISERROR(VLOOKUP(I5,WorkData,6,0)),0,VLOOKUP(I5,WorkData,6,0))</f>
        <v>91.3907269253312</v>
      </c>
      <c r="L5" s="49" t="n">
        <f aca="false">IF(ISERROR(VLOOKUP(I5,WorkData,5,0)),0,VLOOKUP(I5,WorkData,5,0))-14.65</f>
        <v>957.567909115106</v>
      </c>
      <c r="N5" s="4" t="s">
        <v>126</v>
      </c>
      <c r="O5" s="4" t="str">
        <f aca="false">VLOOKUP(N5,WorkData,2,0)</f>
        <v>Pecos 2 LP Fuel</v>
      </c>
      <c r="P5" s="4" t="n">
        <f aca="false">IF(ISERROR(VLOOKUP(N5,WorkData,3,0)),0,VLOOKUP(N5,WorkData,3,0))</f>
        <v>11319.04</v>
      </c>
      <c r="R5" s="4" t="n">
        <v>3</v>
      </c>
      <c r="S5" s="54" t="n">
        <f aca="false">VLOOKUP(S$3,WorkData,$R5,0)</f>
        <v>428115.53</v>
      </c>
      <c r="T5" s="54" t="n">
        <f aca="false">VLOOKUP(T$3,WorkData,$R5,0)</f>
        <v>4239406.28</v>
      </c>
      <c r="U5" s="54" t="n">
        <f aca="false">VLOOKUP(U$3,WorkData,$R5,0)</f>
        <v>1887090.82</v>
      </c>
      <c r="V5" s="54" t="n">
        <f aca="false">VLOOKUP(V$3,WorkData,$R5,0)</f>
        <v>669315.42</v>
      </c>
      <c r="W5" s="54" t="n">
        <f aca="false">SUM(S5:V5)</f>
        <v>7223928.05</v>
      </c>
      <c r="X5" s="54" t="n">
        <f aca="false">W5+P16</f>
        <v>7518014.31</v>
      </c>
    </row>
    <row r="6" customFormat="false" ht="13.8" hidden="false" customHeight="false" outlineLevel="0" collapsed="false">
      <c r="A6" s="4" t="s">
        <v>127</v>
      </c>
      <c r="B6" s="4" t="str">
        <f aca="false">VLOOKUP(A6,WorkData,2,0)</f>
        <v>Money Graham BuyBack</v>
      </c>
      <c r="C6" s="4" t="n">
        <f aca="false">IF(ISERROR(VLOOKUP(A6,WorkData,3,0)),0,VLOOKUP(A6,WorkData,3,0))</f>
        <v>172222.81</v>
      </c>
      <c r="I6" s="4" t="s">
        <v>128</v>
      </c>
      <c r="J6" s="4" t="s">
        <v>129</v>
      </c>
      <c r="K6" s="49" t="n">
        <f aca="false">IF(ISERROR(VLOOKUP(I6,WorkData,6,0)),0,VLOOKUP(I6,WorkData,6,0))</f>
        <v>102.753729330472</v>
      </c>
      <c r="L6" s="49" t="n">
        <f aca="false">IF(ISERROR(VLOOKUP(I6,WorkData,5,0)),0,VLOOKUP(I6,WorkData,5,0))-14.65</f>
        <v>1112.96348185421</v>
      </c>
      <c r="N6" s="4" t="s">
        <v>130</v>
      </c>
      <c r="O6" s="4" t="str">
        <f aca="false">VLOOKUP(N6,WorkData,2,0)</f>
        <v>Pecos 1 HP Fuel</v>
      </c>
      <c r="P6" s="4" t="n">
        <f aca="false">IF(ISERROR(VLOOKUP(N6,WorkData,3,0)),0,VLOOKUP(N6,WorkData,3,0))</f>
        <v>216704.95</v>
      </c>
      <c r="R6" s="4" t="n">
        <v>7</v>
      </c>
      <c r="S6" s="54" t="n">
        <f aca="false">VLOOKUP(S$3,WorkData,$R6,0)</f>
        <v>0.0285732509006481</v>
      </c>
      <c r="T6" s="54" t="n">
        <f aca="false">VLOOKUP(T$3,WorkData,$R6,0)</f>
        <v>0.0282736501177807</v>
      </c>
      <c r="U6" s="54" t="n">
        <f aca="false">VLOOKUP(U$3,WorkData,$R6,0)</f>
        <v>0.0321891147071353</v>
      </c>
      <c r="V6" s="54" t="n">
        <f aca="false">VLOOKUP(V$3,WorkData,$R6,0)</f>
        <v>0.099327001414739</v>
      </c>
      <c r="W6" s="54" t="n">
        <f aca="false">((S$5*S6+T$5*T6+U$5*U6+V$5*V6))/100</f>
        <v>2593.21018858005</v>
      </c>
      <c r="X6" s="54" t="n">
        <f aca="false">W6*X5/W5</f>
        <v>2698.77982887476</v>
      </c>
    </row>
    <row r="7" customFormat="false" ht="13.8" hidden="false" customHeight="false" outlineLevel="0" collapsed="false">
      <c r="A7" s="4" t="s">
        <v>131</v>
      </c>
      <c r="B7" s="4" t="str">
        <f aca="false">VLOOKUP(A7,WorkData,2,0)</f>
        <v>Cypress BuyBack</v>
      </c>
      <c r="C7" s="4" t="n">
        <f aca="false">IF(ISERROR(VLOOKUP(A7,WorkData,3,0)),0,VLOOKUP(A7,WorkData,3,0))</f>
        <v>152794.15</v>
      </c>
      <c r="I7" s="4" t="s">
        <v>132</v>
      </c>
      <c r="J7" s="4" t="s">
        <v>133</v>
      </c>
      <c r="K7" s="49" t="n">
        <f aca="false">IF(ISERROR(VLOOKUP(I7,WorkData,6,0)),0,VLOOKUP(I7,WorkData,6,0))</f>
        <v>123.618921565383</v>
      </c>
      <c r="L7" s="49" t="n">
        <f aca="false">IF(ISERROR(VLOOKUP(I7,WorkData,5,0)),0,VLOOKUP(I7,WorkData,5,0))-14.65</f>
        <v>1102.11432966196</v>
      </c>
      <c r="N7" s="4" t="s">
        <v>134</v>
      </c>
      <c r="O7" s="4" t="str">
        <f aca="false">VLOOKUP(N7,WorkData,2,0)</f>
        <v>Pecos 2 HP Fuel</v>
      </c>
      <c r="P7" s="4" t="n">
        <f aca="false">IF(ISERROR(VLOOKUP(N7,WorkData,3,0)),0,VLOOKUP(N7,WorkData,3,0))</f>
        <v>42390.88</v>
      </c>
      <c r="R7" s="4" t="n">
        <v>8</v>
      </c>
      <c r="S7" s="54" t="n">
        <f aca="false">VLOOKUP(S$3,WorkData,$R7,0)</f>
        <v>1.02865763118742</v>
      </c>
      <c r="T7" s="54" t="n">
        <f aca="false">VLOOKUP(T$3,WorkData,$R7,0)</f>
        <v>1.02866362817266</v>
      </c>
      <c r="U7" s="54" t="n">
        <f aca="false">VLOOKUP(U$3,WorkData,$R7,0)</f>
        <v>0.986336652598509</v>
      </c>
      <c r="V7" s="54" t="n">
        <f aca="false">VLOOKUP(V$3,WorkData,$R7,0)</f>
        <v>0.982501221169082</v>
      </c>
      <c r="W7" s="54" t="n">
        <f aca="false">((S$5*S7+T$5*T7+U$5*U7+V$5*V7))/100</f>
        <v>73202.1741229258</v>
      </c>
      <c r="X7" s="54" t="n">
        <f aca="false">W7*X6/W6</f>
        <v>76182.2361421869</v>
      </c>
    </row>
    <row r="8" customFormat="false" ht="13.8" hidden="false" customHeight="false" outlineLevel="0" collapsed="false">
      <c r="A8" s="4" t="s">
        <v>135</v>
      </c>
      <c r="B8" s="4" t="str">
        <f aca="false">VLOOKUP(A8,WorkData,2,0)</f>
        <v>Parker BuyBack</v>
      </c>
      <c r="C8" s="4" t="n">
        <f aca="false">IF(ISERROR(VLOOKUP(A8,WorkData,3,0)),0,VLOOKUP(A8,WorkData,3,0))</f>
        <v>0</v>
      </c>
      <c r="I8" s="4" t="s">
        <v>136</v>
      </c>
      <c r="J8" s="4" t="s">
        <v>137</v>
      </c>
      <c r="K8" s="49" t="n">
        <f aca="false">IF(ISERROR(VLOOKUP(I8,WorkData,6,0)),0,VLOOKUP(I8,WorkData,6,0))</f>
        <v>112.985860632747</v>
      </c>
      <c r="L8" s="49" t="n">
        <f aca="false">IF(ISERROR(VLOOKUP(I8,WorkData,5,0)),0,VLOOKUP(I8,WorkData,5,0))-14.65</f>
        <v>1051.06177114399</v>
      </c>
      <c r="R8" s="4" t="n">
        <v>9</v>
      </c>
      <c r="S8" s="54" t="n">
        <f aca="false">VLOOKUP(S$3,WorkData,$R8,0)</f>
        <v>95.6932924120128</v>
      </c>
      <c r="T8" s="54" t="n">
        <f aca="false">VLOOKUP(T$3,WorkData,$R8,0)</f>
        <v>95.6950640053272</v>
      </c>
      <c r="U8" s="54" t="n">
        <f aca="false">VLOOKUP(U$3,WorkData,$R8,0)</f>
        <v>93.8495223864989</v>
      </c>
      <c r="V8" s="54" t="n">
        <f aca="false">VLOOKUP(V$3,WorkData,$R8,0)</f>
        <v>92.6994576653776</v>
      </c>
      <c r="W8" s="54" t="n">
        <f aca="false">((S$5*S8+T$5*T8+U$5*U8+V$5*V8))/100</f>
        <v>6858057.88505621</v>
      </c>
      <c r="X8" s="54" t="n">
        <f aca="false">W8*X7/W7</f>
        <v>7137249.56309067</v>
      </c>
    </row>
    <row r="9" customFormat="false" ht="13.8" hidden="false" customHeight="false" outlineLevel="0" collapsed="false">
      <c r="A9" s="4" t="s">
        <v>138</v>
      </c>
      <c r="B9" s="4" t="str">
        <f aca="false">VLOOKUP(A9,WorkData,2,0)</f>
        <v>Emma BuyBack</v>
      </c>
      <c r="C9" s="4" t="n">
        <f aca="false">IF(ISERROR(VLOOKUP(A9,WorkData,3,0)),0,VLOOKUP(A9,WorkData,3,0))</f>
        <v>0</v>
      </c>
      <c r="I9" s="4" t="s">
        <v>139</v>
      </c>
      <c r="J9" s="4" t="s">
        <v>140</v>
      </c>
      <c r="K9" s="49" t="n">
        <f aca="false">IF(ISERROR(VLOOKUP(I9,WorkData,6,0)),0,VLOOKUP(I9,WorkData,6,0))</f>
        <v>93.2132081374826</v>
      </c>
      <c r="L9" s="49" t="n">
        <f aca="false">IF(ISERROR(VLOOKUP(I9,WorkData,5,0)),0,VLOOKUP(I9,WorkData,5,0))-14.65</f>
        <v>1048.12140588604</v>
      </c>
      <c r="R9" s="4" t="n">
        <v>10</v>
      </c>
      <c r="S9" s="54" t="n">
        <f aca="false">VLOOKUP(S$3,WorkData,$R9,0)</f>
        <v>3.16200507248809</v>
      </c>
      <c r="T9" s="54" t="n">
        <f aca="false">VLOOKUP(T$3,WorkData,$R9,0)</f>
        <v>3.16065250945488</v>
      </c>
      <c r="U9" s="54" t="n">
        <f aca="false">VLOOKUP(U$3,WorkData,$R9,0)</f>
        <v>3.33440905553148</v>
      </c>
      <c r="V9" s="54" t="n">
        <f aca="false">VLOOKUP(V$3,WorkData,$R9,0)</f>
        <v>4.37350142624641</v>
      </c>
      <c r="W9" s="54" t="n">
        <f aca="false">((S$5*S9+T$5*T9+U$5*U9+V$5*V9))/100</f>
        <v>239725.782377487</v>
      </c>
      <c r="X9" s="54" t="n">
        <f aca="false">W9*X8/W8</f>
        <v>249485.023925439</v>
      </c>
    </row>
    <row r="10" customFormat="false" ht="13.8" hidden="false" customHeight="false" outlineLevel="0" collapsed="false">
      <c r="A10" s="4" t="s">
        <v>141</v>
      </c>
      <c r="B10" s="4" t="str">
        <f aca="false">VLOOKUP(A10,WorkData,2,0)</f>
        <v>Nailed It B BuyBack</v>
      </c>
      <c r="C10" s="4" t="n">
        <f aca="false">IF(ISERROR(VLOOKUP(A10,WorkData,3,0)),0,VLOOKUP(A10,WorkData,3,0))</f>
        <v>262167.15</v>
      </c>
      <c r="I10" s="4" t="s">
        <v>142</v>
      </c>
      <c r="J10" s="4" t="s">
        <v>143</v>
      </c>
      <c r="K10" s="49" t="n">
        <f aca="false">IF(ISERROR(VLOOKUP(I10,WorkData,6,0)),0,VLOOKUP(I10,WorkData,6,0))</f>
        <v>98.2342894866821</v>
      </c>
      <c r="L10" s="49" t="n">
        <f aca="false">IF(ISERROR(VLOOKUP(I10,WorkData,5,0)),0,VLOOKUP(I10,WorkData,5,0))-14.65</f>
        <v>1026.04803297412</v>
      </c>
      <c r="R10" s="4" t="n">
        <v>11</v>
      </c>
      <c r="S10" s="54" t="n">
        <f aca="false">VLOOKUP(S$3,WorkData,$R10,0)</f>
        <v>0.08374272705963</v>
      </c>
      <c r="T10" s="54" t="n">
        <f aca="false">VLOOKUP(T$3,WorkData,$R10,0)</f>
        <v>0.0836228328705957</v>
      </c>
      <c r="U10" s="54" t="n">
        <f aca="false">VLOOKUP(U$3,WorkData,$R10,0)</f>
        <v>0.0840881397766082</v>
      </c>
      <c r="V10" s="54" t="n">
        <f aca="false">VLOOKUP(V$3,WorkData,$R10,0)</f>
        <v>0.141094531736112</v>
      </c>
      <c r="W10" s="54" t="n">
        <f aca="false">((S$5*S10+T$5*T10+U$5*U10+V$5*V10))/100</f>
        <v>6434.81427213746</v>
      </c>
      <c r="X10" s="54" t="n">
        <f aca="false">W10*X9/W9</f>
        <v>6696.77569395527</v>
      </c>
    </row>
    <row r="11" customFormat="false" ht="13.8" hidden="false" customHeight="false" outlineLevel="0" collapsed="false">
      <c r="A11" s="4" t="s">
        <v>144</v>
      </c>
      <c r="B11" s="4" t="str">
        <f aca="false">VLOOKUP(A11,WorkData,2,0)</f>
        <v>Jeff East BuyBack</v>
      </c>
      <c r="C11" s="4" t="n">
        <f aca="false">IF(ISERROR(VLOOKUP(A11,WorkData,3,0)),0,VLOOKUP(A11,WorkData,3,0))</f>
        <v>0</v>
      </c>
      <c r="I11" s="4" t="s">
        <v>145</v>
      </c>
      <c r="J11" s="4" t="s">
        <v>146</v>
      </c>
      <c r="K11" s="49" t="n">
        <f aca="false">IF(ISERROR(VLOOKUP(I11,WorkData,6,0)),0,VLOOKUP(I11,WorkData,6,0))</f>
        <v>91.2173696373963</v>
      </c>
      <c r="L11" s="49" t="n">
        <f aca="false">IF(ISERROR(VLOOKUP(I11,WorkData,5,0)),0,VLOOKUP(I11,WorkData,5,0))-14.65</f>
        <v>1104.02756547789</v>
      </c>
      <c r="R11" s="4" t="n">
        <v>12</v>
      </c>
      <c r="S11" s="54" t="n">
        <f aca="false">VLOOKUP(S$3,WorkData,$R11,0)</f>
        <v>0.00150567037786595</v>
      </c>
      <c r="T11" s="54" t="n">
        <f aca="false">VLOOKUP(T$3,WorkData,$R11,0)</f>
        <v>0.00150355438898487</v>
      </c>
      <c r="U11" s="54" t="n">
        <f aca="false">VLOOKUP(U$3,WorkData,$R11,0)</f>
        <v>0.00142474183058214</v>
      </c>
      <c r="V11" s="54" t="n">
        <f aca="false">VLOOKUP(V$3,WorkData,$R11,0)</f>
        <v>0.00243179512674213</v>
      </c>
      <c r="W11" s="54" t="n">
        <f aca="false">((S$5*S11+T$5*T11+U$5*U11+V$5*V11))/100</f>
        <v>113.350339967803</v>
      </c>
      <c r="X11" s="54" t="n">
        <f aca="false">W11*X10/W10</f>
        <v>117.964834647171</v>
      </c>
    </row>
    <row r="12" customFormat="false" ht="13.8" hidden="false" customHeight="false" outlineLevel="0" collapsed="false">
      <c r="A12" s="4" t="s">
        <v>147</v>
      </c>
      <c r="B12" s="4" t="str">
        <f aca="false">VLOOKUP(A12,WorkData,2,0)</f>
        <v>Flat Head BuyBack</v>
      </c>
      <c r="C12" s="4" t="n">
        <f aca="false">IF(ISERROR(VLOOKUP(A12,WorkData,3,0)),0,VLOOKUP(A12,WorkData,3,0))</f>
        <v>0</v>
      </c>
      <c r="I12" s="4" t="s">
        <v>148</v>
      </c>
      <c r="J12" s="4" t="s">
        <v>149</v>
      </c>
      <c r="K12" s="49" t="n">
        <f aca="false">IF(ISERROR(VLOOKUP(I12,WorkData,6,0)),0,VLOOKUP(I12,WorkData,6,0))</f>
        <v>95.139966268086</v>
      </c>
      <c r="L12" s="49" t="n">
        <f aca="false">IF(ISERROR(VLOOKUP(I12,WorkData,5,0)),0,VLOOKUP(I12,WorkData,5,0))-14.65</f>
        <v>960.012981559997</v>
      </c>
      <c r="R12" s="4" t="n">
        <v>13</v>
      </c>
      <c r="S12" s="54" t="n">
        <f aca="false">VLOOKUP(S$3,WorkData,$R12,0)</f>
        <v>0.00212936679327564</v>
      </c>
      <c r="T12" s="54" t="n">
        <f aca="false">VLOOKUP(T$3,WorkData,$R12,0)</f>
        <v>0.00212679146879362</v>
      </c>
      <c r="U12" s="54" t="n">
        <f aca="false">VLOOKUP(U$3,WorkData,$R12,0)</f>
        <v>0.00114016648940022</v>
      </c>
      <c r="V12" s="54" t="n">
        <f aca="false">VLOOKUP(V$3,WorkData,$R12,0)</f>
        <v>0.00211579443425881</v>
      </c>
      <c r="W12" s="54" t="n">
        <f aca="false">((S$5*S12+T$5*T12+U$5*U12+V$5*V12))/100</f>
        <v>134.956796581401</v>
      </c>
      <c r="X12" s="54" t="n">
        <f aca="false">W12*X11/W11</f>
        <v>140.450890555413</v>
      </c>
    </row>
    <row r="13" customFormat="false" ht="13.8" hidden="false" customHeight="false" outlineLevel="0" collapsed="false">
      <c r="A13" s="4" t="s">
        <v>150</v>
      </c>
      <c r="B13" s="4" t="str">
        <f aca="false">VLOOKUP(A13,WorkData,2,0)</f>
        <v>Johnny Cash 2 BuyBack</v>
      </c>
      <c r="C13" s="4" t="n">
        <f aca="false">IF(ISERROR(VLOOKUP(A13,WorkData,3,0)),0,VLOOKUP(A13,WorkData,3,0))</f>
        <v>4616.41</v>
      </c>
      <c r="I13" s="4" t="s">
        <v>151</v>
      </c>
      <c r="J13" s="4" t="s">
        <v>152</v>
      </c>
      <c r="K13" s="49" t="n">
        <f aca="false">IF(ISERROR(VLOOKUP(I13,WorkData,6,0)),0,VLOOKUP(I13,WorkData,6,0))</f>
        <v>94.4513333438195</v>
      </c>
      <c r="L13" s="49" t="n">
        <f aca="false">IF(ISERROR(VLOOKUP(I13,WorkData,5,0)),0,VLOOKUP(I13,WorkData,5,0))-14.65</f>
        <v>1015.70173974176</v>
      </c>
      <c r="R13" s="4" t="n">
        <v>14</v>
      </c>
      <c r="S13" s="54" t="n">
        <f aca="false">VLOOKUP(S$3,WorkData,$R13,0)</f>
        <v>4.73295387984469E-005</v>
      </c>
      <c r="T13" s="54" t="n">
        <f aca="false">VLOOKUP(T$3,WorkData,$R13,0)</f>
        <v>4.68905800271209E-005</v>
      </c>
      <c r="U13" s="54" t="n">
        <f aca="false">VLOOKUP(U$3,WorkData,$R13,0)</f>
        <v>6.97184789235642E-007</v>
      </c>
      <c r="V13" s="54" t="n">
        <f aca="false">VLOOKUP(V$3,WorkData,$R13,0)</f>
        <v>5.57557147541569E-006</v>
      </c>
      <c r="W13" s="54" t="n">
        <f aca="false">((S$5*S13+T$5*T13+U$5*U13+V$5*V13))/100</f>
        <v>2.2409819700659</v>
      </c>
      <c r="X13" s="54" t="n">
        <f aca="false">W13*X12/W12</f>
        <v>2.33221239231576</v>
      </c>
    </row>
    <row r="14" customFormat="false" ht="13.8" hidden="false" customHeight="false" outlineLevel="0" collapsed="false">
      <c r="A14" s="4" t="s">
        <v>153</v>
      </c>
      <c r="B14" s="4" t="str">
        <f aca="false">VLOOKUP(A14,WorkData,2,0)</f>
        <v>Yellowtail BuyBack</v>
      </c>
      <c r="C14" s="4" t="n">
        <f aca="false">IF(ISERROR(VLOOKUP(A14,WorkData,3,0)),0,VLOOKUP(A14,WorkData,3,0))</f>
        <v>0</v>
      </c>
      <c r="I14" s="4" t="s">
        <v>154</v>
      </c>
      <c r="J14" s="4" t="s">
        <v>155</v>
      </c>
      <c r="K14" s="49" t="n">
        <f aca="false">K7</f>
        <v>123.618921565383</v>
      </c>
      <c r="L14" s="49" t="n">
        <f aca="false">L7</f>
        <v>1102.11432966196</v>
      </c>
      <c r="R14" s="4" t="n">
        <v>15</v>
      </c>
      <c r="S14" s="54" t="n">
        <f aca="false">VLOOKUP(S$3,WorkData,$R14,0)</f>
        <v>4.38986942305306E-005</v>
      </c>
      <c r="T14" s="54" t="n">
        <f aca="false">VLOOKUP(T$3,WorkData,$R14,0)</f>
        <v>4.35256016415786E-005</v>
      </c>
      <c r="U14" s="54" t="n">
        <f aca="false">VLOOKUP(U$3,WorkData,$R14,0)</f>
        <v>1.20083484727841E-006</v>
      </c>
      <c r="V14" s="54" t="n">
        <f aca="false">VLOOKUP(V$3,WorkData,$R14,0)</f>
        <v>0</v>
      </c>
      <c r="W14" s="54" t="n">
        <f aca="false">((S$5*S14+T$5*T14+U$5*U14+V$5*V14))/100</f>
        <v>2.05582506103533</v>
      </c>
      <c r="X14" s="54" t="n">
        <f aca="false">W14*X13/W13</f>
        <v>2.13951774169737</v>
      </c>
    </row>
    <row r="15" customFormat="false" ht="13.8" hidden="false" customHeight="false" outlineLevel="0" collapsed="false">
      <c r="A15" s="4" t="s">
        <v>156</v>
      </c>
      <c r="B15" s="4" t="str">
        <f aca="false">VLOOKUP(A15,WorkData,2,0)</f>
        <v>Atlantic Master BuyBack</v>
      </c>
      <c r="C15" s="4" t="n">
        <f aca="false">IF(ISERROR(VLOOKUP(A15,WorkData,3,0)),0,VLOOKUP(A15,WorkData,3,0))</f>
        <v>19998.06</v>
      </c>
      <c r="R15" s="4" t="n">
        <v>16</v>
      </c>
      <c r="S15" s="54" t="n">
        <f aca="false">VLOOKUP(S$3,WorkData,$R15,0)</f>
        <v>2.70613906720087E-006</v>
      </c>
      <c r="T15" s="54" t="n">
        <f aca="false">VLOOKUP(T$3,WorkData,$R15,0)</f>
        <v>2.67739865099955E-006</v>
      </c>
      <c r="U15" s="54" t="n">
        <f aca="false">VLOOKUP(U$3,WorkData,$R15,0)</f>
        <v>0</v>
      </c>
      <c r="V15" s="54" t="n">
        <f aca="false">VLOOKUP(V$3,WorkData,$R15,0)</f>
        <v>0</v>
      </c>
      <c r="W15" s="54" t="n">
        <f aca="false">((S$5*S15+T$5*T15+U$5*U15+V$5*V15))/100</f>
        <v>0.125091208161194</v>
      </c>
      <c r="X15" s="54" t="n">
        <f aca="false">W15*X14/W14</f>
        <v>0.130183673827018</v>
      </c>
    </row>
    <row r="16" customFormat="false" ht="13.8" hidden="false" customHeight="false" outlineLevel="0" collapsed="false">
      <c r="A16" s="4" t="s">
        <v>157</v>
      </c>
      <c r="B16" s="4" t="str">
        <f aca="false">VLOOKUP(A16,WorkData,2,0)</f>
        <v>Wild Jenny BuyBack</v>
      </c>
      <c r="C16" s="4" t="n">
        <f aca="false">IF(ISERROR(VLOOKUP(A16,WorkData,3,0)),0,VLOOKUP(A16,WorkData,3,0))</f>
        <v>0</v>
      </c>
      <c r="P16" s="4" t="n">
        <f aca="false">SUM(P3:P15)</f>
        <v>294086.26</v>
      </c>
      <c r="S16" s="54" t="n">
        <f aca="false">SUM(S6:S15)</f>
        <v>100.000000065192</v>
      </c>
      <c r="T16" s="54" t="n">
        <f aca="false">SUM(T6:T15)</f>
        <v>100.000000065381</v>
      </c>
      <c r="U16" s="54" t="n">
        <f aca="false">SUM(U6:U15)</f>
        <v>98.2891121554523</v>
      </c>
      <c r="V16" s="54" t="n">
        <f aca="false">SUM(V6:V15)</f>
        <v>98.3004350110764</v>
      </c>
      <c r="W16" s="54" t="n">
        <f aca="false">SUM(W6:W15)</f>
        <v>7180266.59505213</v>
      </c>
    </row>
    <row r="17" customFormat="false" ht="13.8" hidden="false" customHeight="false" outlineLevel="0" collapsed="false">
      <c r="A17" s="4" t="s">
        <v>158</v>
      </c>
      <c r="B17" s="4" t="str">
        <f aca="false">VLOOKUP(A17,WorkData,2,0)</f>
        <v>Gillette BuyBack</v>
      </c>
      <c r="C17" s="4" t="n">
        <f aca="false">IF(ISERROR(VLOOKUP(A17,WorkData,3,0)),0,VLOOKUP(A17,WorkData,3,0))</f>
        <v>0</v>
      </c>
    </row>
    <row r="18" customFormat="false" ht="13.8" hidden="false" customHeight="false" outlineLevel="0" collapsed="false">
      <c r="A18" s="4" t="s">
        <v>159</v>
      </c>
      <c r="B18" s="4" t="str">
        <f aca="false">VLOOKUP(A18,WorkData,2,0)</f>
        <v>Cypress 33 B Buyback</v>
      </c>
      <c r="C18" s="4" t="n">
        <f aca="false">IF(ISERROR(VLOOKUP(A18,WorkData,3,0)),0,VLOOKUP(A18,WorkData,3,0))</f>
        <v>0</v>
      </c>
    </row>
    <row r="19" customFormat="false" ht="13.8" hidden="false" customHeight="false" outlineLevel="0" collapsed="false">
      <c r="A19" s="4" t="s">
        <v>160</v>
      </c>
      <c r="B19" s="4" t="str">
        <f aca="false">VLOOKUP(A19,WorkData,2,0)</f>
        <v>Rick Vaughn BuyBack</v>
      </c>
      <c r="C19" s="4" t="n">
        <f aca="false">IF(ISERROR(VLOOKUP(A19,WorkData,3,0)),0,VLOOKUP(A19,WorkData,3,0))</f>
        <v>0</v>
      </c>
    </row>
    <row r="20" customFormat="false" ht="13.8" hidden="false" customHeight="false" outlineLevel="0" collapsed="false">
      <c r="A20" s="4" t="s">
        <v>161</v>
      </c>
      <c r="B20" s="4" t="str">
        <f aca="false">VLOOKUP(A20,WorkData,2,0)</f>
        <v>Enlink</v>
      </c>
      <c r="C20" s="4" t="n">
        <f aca="false">VLOOKUP(A20,WorkData,3,0)</f>
        <v>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>
      <c r="G24" s="123"/>
    </row>
    <row r="25" customFormat="false" ht="15.75" hidden="false" customHeight="true" outlineLevel="0" collapsed="false">
      <c r="F25" s="123"/>
      <c r="G25" s="123"/>
    </row>
    <row r="26" customFormat="false" ht="15.75" hidden="false" customHeight="true" outlineLevel="0" collapsed="false">
      <c r="F26" s="123"/>
      <c r="G26" s="123"/>
    </row>
    <row r="27" customFormat="false" ht="15.75" hidden="false" customHeight="true" outlineLevel="0" collapsed="false">
      <c r="F27" s="123"/>
      <c r="G27" s="123"/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>
      <c r="F31" s="54"/>
      <c r="G31" s="54"/>
    </row>
    <row r="32" customFormat="false" ht="15.75" hidden="false" customHeight="true" outlineLevel="0" collapsed="false">
      <c r="F32" s="54"/>
      <c r="G32" s="54"/>
    </row>
    <row r="33" customFormat="false" ht="15.75" hidden="false" customHeight="true" outlineLevel="0" collapsed="false">
      <c r="F33" s="54"/>
      <c r="G33" s="54"/>
    </row>
    <row r="34" customFormat="false" ht="15.75" hidden="false" customHeight="true" outlineLevel="0" collapsed="false">
      <c r="F34" s="54"/>
      <c r="G34" s="54"/>
    </row>
    <row r="35" customFormat="false" ht="15.75" hidden="false" customHeight="true" outlineLevel="0" collapsed="false">
      <c r="C35" s="54"/>
      <c r="F35" s="54"/>
      <c r="G35" s="54"/>
    </row>
    <row r="36" customFormat="false" ht="15.75" hidden="false" customHeight="true" outlineLevel="0" collapsed="false">
      <c r="C36" s="54"/>
    </row>
    <row r="37" customFormat="false" ht="15.75" hidden="false" customHeight="true" outlineLevel="0" collapsed="false">
      <c r="C37" s="54"/>
    </row>
    <row r="38" customFormat="false" ht="15.75" hidden="false" customHeight="true" outlineLevel="0" collapsed="false">
      <c r="C38" s="54"/>
    </row>
    <row r="39" customFormat="false" ht="15.75" hidden="false" customHeight="true" outlineLevel="0" collapsed="false">
      <c r="C39" s="54"/>
    </row>
    <row r="40" customFormat="false" ht="15.75" hidden="false" customHeight="true" outlineLevel="0" collapsed="false">
      <c r="H40" s="123"/>
      <c r="I40" s="123"/>
      <c r="J40" s="123"/>
      <c r="K40" s="123"/>
      <c r="L40" s="123"/>
      <c r="M40" s="123"/>
      <c r="N40" s="123"/>
      <c r="O40" s="123"/>
    </row>
    <row r="41" customFormat="false" ht="15.75" hidden="false" customHeight="true" outlineLevel="0" collapsed="false">
      <c r="H41" s="123"/>
      <c r="I41" s="123"/>
      <c r="J41" s="123"/>
      <c r="K41" s="123"/>
      <c r="L41" s="123"/>
      <c r="M41" s="123"/>
      <c r="N41" s="123"/>
      <c r="O41" s="123"/>
    </row>
    <row r="42" customFormat="false" ht="15.75" hidden="false" customHeight="true" outlineLevel="0" collapsed="false">
      <c r="H42" s="123"/>
      <c r="I42" s="123"/>
      <c r="J42" s="123"/>
      <c r="K42" s="123"/>
      <c r="L42" s="123"/>
      <c r="M42" s="123"/>
      <c r="N42" s="123"/>
      <c r="O42" s="123"/>
    </row>
    <row r="43" customFormat="false" ht="15.75" hidden="false" customHeight="true" outlineLevel="0" collapsed="false">
      <c r="H43" s="123"/>
      <c r="I43" s="123"/>
      <c r="J43" s="123"/>
      <c r="K43" s="123"/>
      <c r="L43" s="123"/>
      <c r="M43" s="123"/>
      <c r="N43" s="123"/>
      <c r="O43" s="123"/>
    </row>
    <row r="47" customFormat="false" ht="15.75" hidden="false" customHeight="true" outlineLevel="0" collapsed="false">
      <c r="H47" s="54"/>
      <c r="I47" s="54"/>
      <c r="J47" s="54"/>
      <c r="K47" s="54"/>
      <c r="L47" s="54"/>
      <c r="M47" s="54"/>
      <c r="N47" s="54"/>
      <c r="O47" s="54"/>
    </row>
    <row r="48" customFormat="false" ht="15.75" hidden="false" customHeight="true" outlineLevel="0" collapsed="false">
      <c r="H48" s="54"/>
      <c r="I48" s="54"/>
      <c r="J48" s="54"/>
      <c r="K48" s="54"/>
      <c r="L48" s="54"/>
      <c r="M48" s="54"/>
      <c r="N48" s="54"/>
      <c r="O48" s="54"/>
    </row>
    <row r="49" customFormat="false" ht="15.75" hidden="false" customHeight="true" outlineLevel="0" collapsed="false">
      <c r="H49" s="54"/>
      <c r="I49" s="54"/>
      <c r="J49" s="54"/>
      <c r="K49" s="54"/>
      <c r="L49" s="54"/>
      <c r="M49" s="54"/>
      <c r="N49" s="54"/>
      <c r="O49" s="54"/>
    </row>
    <row r="50" customFormat="false" ht="15.75" hidden="false" customHeight="true" outlineLevel="0" collapsed="false">
      <c r="H50" s="54"/>
      <c r="I50" s="54"/>
      <c r="J50" s="54"/>
      <c r="K50" s="54"/>
      <c r="L50" s="54"/>
      <c r="M50" s="54"/>
      <c r="N50" s="54"/>
      <c r="O50" s="54"/>
    </row>
    <row r="51" customFormat="false" ht="15.75" hidden="false" customHeight="true" outlineLevel="0" collapsed="false">
      <c r="H51" s="54"/>
      <c r="I51" s="54"/>
      <c r="J51" s="54"/>
      <c r="K51" s="54"/>
      <c r="L51" s="54"/>
      <c r="M51" s="54"/>
      <c r="N51" s="54"/>
      <c r="O51" s="54"/>
    </row>
    <row r="53" customFormat="false" ht="15.75" hidden="false" customHeight="true" outlineLevel="0" collapsed="false">
      <c r="I53" s="54"/>
    </row>
    <row r="54" customFormat="false" ht="15.75" hidden="false" customHeight="true" outlineLevel="0" collapsed="false">
      <c r="I54" s="54"/>
    </row>
    <row r="55" customFormat="false" ht="15.75" hidden="false" customHeight="true" outlineLevel="0" collapsed="false">
      <c r="I55" s="54"/>
    </row>
    <row r="56" customFormat="false" ht="15.75" hidden="false" customHeight="true" outlineLevel="0" collapsed="false">
      <c r="I56" s="54"/>
    </row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T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53125" defaultRowHeight="15" zeroHeight="false" outlineLevelRow="0" outlineLevelCol="0"/>
  <cols>
    <col collapsed="false" customWidth="true" hidden="false" outlineLevel="0" max="1" min="1" style="0" width="8.7"/>
    <col collapsed="false" customWidth="true" hidden="false" outlineLevel="0" max="2" min="2" style="0" width="30"/>
    <col collapsed="false" customWidth="true" hidden="false" outlineLevel="0" max="3" min="3" style="0" width="14.71"/>
    <col collapsed="false" customWidth="true" hidden="false" outlineLevel="0" max="4" min="4" style="0" width="11.57"/>
    <col collapsed="false" customWidth="true" hidden="false" outlineLevel="0" max="5" min="5" style="0" width="10.57"/>
    <col collapsed="false" customWidth="true" hidden="false" outlineLevel="0" max="6" min="6" style="0" width="8.7"/>
    <col collapsed="false" customWidth="true" hidden="false" outlineLevel="0" max="7" min="7" style="0" width="10.57"/>
    <col collapsed="false" customWidth="true" hidden="false" outlineLevel="0" max="8" min="8" style="0" width="16.71"/>
    <col collapsed="false" customWidth="true" hidden="false" outlineLevel="0" max="9" min="9" style="0" width="12.14"/>
    <col collapsed="false" customWidth="true" hidden="false" outlineLevel="0" max="10" min="10" style="0" width="10.57"/>
    <col collapsed="false" customWidth="true" hidden="false" outlineLevel="0" max="11" min="11" style="0" width="13.86"/>
    <col collapsed="false" customWidth="true" hidden="false" outlineLevel="0" max="12" min="12" style="0" width="13.43"/>
    <col collapsed="false" customWidth="true" hidden="false" outlineLevel="0" max="13" min="13" style="0" width="11.57"/>
    <col collapsed="false" customWidth="true" hidden="false" outlineLevel="0" max="16" min="14" style="0" width="8.7"/>
    <col collapsed="false" customWidth="true" hidden="false" outlineLevel="0" max="17" min="17" style="0" width="27.86"/>
    <col collapsed="false" customWidth="true" hidden="false" outlineLevel="0" max="18" min="18" style="0" width="15.43"/>
    <col collapsed="false" customWidth="true" hidden="false" outlineLevel="0" max="26" min="19" style="0" width="8.7"/>
  </cols>
  <sheetData>
    <row r="1" customFormat="false" ht="15" hidden="false" customHeight="false" outlineLevel="0" collapsed="false">
      <c r="F1" s="24" t="s">
        <v>162</v>
      </c>
      <c r="G1" s="24" t="s">
        <v>163</v>
      </c>
      <c r="H1" s="24" t="s">
        <v>164</v>
      </c>
      <c r="I1" s="24" t="s">
        <v>165</v>
      </c>
      <c r="L1" s="4" t="s">
        <v>166</v>
      </c>
    </row>
    <row r="2" customFormat="false" ht="15" hidden="false" customHeight="false" outlineLevel="0" collapsed="false">
      <c r="A2" s="4" t="s">
        <v>70</v>
      </c>
      <c r="B2" s="4" t="str">
        <f aca="false">VLOOKUP(A2,WorkData,2,0)</f>
        <v>Bluto CDP</v>
      </c>
      <c r="C2" s="49" t="n">
        <f aca="false">IF(ISERROR(VLOOKUP(A2,WorkData,3,0)),0,VLOOKUP(A2,WorkData,3,0))</f>
        <v>84015.9</v>
      </c>
      <c r="D2" s="49" t="n">
        <f aca="false">IF(ISERROR(VLOOKUP($A2,WorkData,5,0)),0,VLOOKUP($A2,WorkData,5,0))</f>
        <v>54.6667374019693</v>
      </c>
      <c r="E2" s="49" t="n">
        <f aca="false">IF(ISERROR(VLOOKUP($A2,WorkData,6,0)),0,VLOOKUP($A2,WorkData,6,0))</f>
        <v>83.7578652637491</v>
      </c>
      <c r="F2" s="49" t="n">
        <f aca="false">(E2-32)/9*5</f>
        <v>28.7543695909717</v>
      </c>
      <c r="G2" s="124" t="n">
        <f aca="false">10^(R$4-(R$5/(R$6+F2)))*0.0193339296</f>
        <v>0.571105586090628</v>
      </c>
      <c r="H2" s="49" t="n">
        <f aca="false">D2+14.73</f>
        <v>69.3967374019693</v>
      </c>
      <c r="I2" s="125" t="n">
        <f aca="false">G2/H2</f>
        <v>0.00822957400407158</v>
      </c>
      <c r="J2" s="125" t="n">
        <f aca="false">1-I2</f>
        <v>0.991770425995929</v>
      </c>
      <c r="K2" s="49" t="n">
        <f aca="false">C2*J2</f>
        <v>83324.4849334313</v>
      </c>
      <c r="L2" s="126" t="n">
        <f aca="false">C2*(1-J2)</f>
        <v>691.415066568674</v>
      </c>
      <c r="M2" s="126" t="n">
        <f aca="false">C2*(1-0.9826)</f>
        <v>1461.87666</v>
      </c>
      <c r="Q2" s="127" t="s">
        <v>167</v>
      </c>
      <c r="R2" s="127"/>
    </row>
    <row r="3" customFormat="false" ht="15" hidden="false" customHeight="false" outlineLevel="0" collapsed="false">
      <c r="A3" s="4" t="s">
        <v>71</v>
      </c>
      <c r="B3" s="4" t="str">
        <f aca="false">VLOOKUP(A3,WorkData,2,0)</f>
        <v>DF Ranch CDP</v>
      </c>
      <c r="C3" s="49" t="n">
        <f aca="false">IF(ISERROR(VLOOKUP(A3,WorkData,3,0)),0,VLOOKUP(A3,WorkData,3,0))</f>
        <v>0</v>
      </c>
      <c r="D3" s="49" t="n">
        <f aca="false">IF(ISERROR(VLOOKUP($A3,WorkData,5,0)),0,VLOOKUP($A3,WorkData,5,0))</f>
        <v>16.6846112499955</v>
      </c>
      <c r="E3" s="49" t="n">
        <f aca="false">IF(ISERROR(VLOOKUP($A3,WorkData,6,0)),0,VLOOKUP($A3,WorkData,6,0))</f>
        <v>75.0433518040565</v>
      </c>
      <c r="F3" s="49" t="n">
        <f aca="false">(E3-32)/9*5</f>
        <v>23.9129732244758</v>
      </c>
      <c r="G3" s="124" t="n">
        <f aca="false">10^(R$4-(R$5/(R$6+F3)))*0.0193339296</f>
        <v>0.429073221178664</v>
      </c>
      <c r="H3" s="49" t="n">
        <f aca="false">D3+14.73</f>
        <v>31.4146112499955</v>
      </c>
      <c r="I3" s="125" t="n">
        <f aca="false">G3/H3</f>
        <v>0.0136583966538413</v>
      </c>
      <c r="J3" s="125" t="n">
        <f aca="false">1-I3</f>
        <v>0.986341603346159</v>
      </c>
      <c r="K3" s="49" t="n">
        <f aca="false">C3*J3</f>
        <v>0</v>
      </c>
      <c r="L3" s="126" t="n">
        <f aca="false">C3*(1-J3)</f>
        <v>0</v>
      </c>
      <c r="M3" s="126" t="n">
        <f aca="false">C3*(1-0.9826)</f>
        <v>0</v>
      </c>
      <c r="Q3" s="128" t="s">
        <v>168</v>
      </c>
      <c r="R3" s="129"/>
    </row>
    <row r="4" customFormat="false" ht="15" hidden="false" customHeight="false" outlineLevel="0" collapsed="false">
      <c r="A4" s="4" t="s">
        <v>67</v>
      </c>
      <c r="B4" s="4" t="str">
        <f aca="false">VLOOKUP(A4,WorkData,2,0)</f>
        <v>Pliny The Elder CDP</v>
      </c>
      <c r="C4" s="49" t="n">
        <f aca="false">IF(ISERROR(VLOOKUP(A4,WorkData,3,0)),0,VLOOKUP(A4,WorkData,3,0))</f>
        <v>287535.81</v>
      </c>
      <c r="D4" s="49" t="n">
        <f aca="false">IF(ISERROR(VLOOKUP($A4,WorkData,5,0)),0,VLOOKUP($A4,WorkData,5,0))</f>
        <v>66.506085676504</v>
      </c>
      <c r="E4" s="49" t="n">
        <f aca="false">IF(ISERROR(VLOOKUP($A4,WorkData,6,0)),0,VLOOKUP($A4,WorkData,6,0))</f>
        <v>93.7986342383159</v>
      </c>
      <c r="F4" s="49" t="n">
        <f aca="false">(E4-32)/9*5</f>
        <v>34.3325745768422</v>
      </c>
      <c r="G4" s="124" t="n">
        <f aca="false">10^(R$4-(R$5/(R$6+F4)))*0.0193339296</f>
        <v>0.783850089089283</v>
      </c>
      <c r="H4" s="49" t="n">
        <f aca="false">D4+14.73</f>
        <v>81.236085676504</v>
      </c>
      <c r="I4" s="125" t="n">
        <f aca="false">G4/H4</f>
        <v>0.00964903814064489</v>
      </c>
      <c r="J4" s="125" t="n">
        <f aca="false">1-I4</f>
        <v>0.990350961859355</v>
      </c>
      <c r="K4" s="49" t="n">
        <f aca="false">C4*J4</f>
        <v>284761.366002509</v>
      </c>
      <c r="L4" s="126" t="n">
        <f aca="false">C4*(1-J4)</f>
        <v>2774.44399749122</v>
      </c>
      <c r="M4" s="126" t="n">
        <f aca="false">C4*(1-0.9826)</f>
        <v>5003.12309399999</v>
      </c>
      <c r="Q4" s="130" t="s">
        <v>169</v>
      </c>
      <c r="R4" s="131" t="n">
        <v>8.07131</v>
      </c>
    </row>
    <row r="5" customFormat="false" ht="15" hidden="false" customHeight="false" outlineLevel="0" collapsed="false">
      <c r="A5" s="4" t="s">
        <v>14</v>
      </c>
      <c r="B5" s="4" t="str">
        <f aca="false">VLOOKUP(A5,WorkData,2,0)</f>
        <v>Rock Ridge Federal CDP</v>
      </c>
      <c r="C5" s="49" t="n">
        <f aca="false">IF(ISERROR(VLOOKUP(A5,WorkData,3,0)),0,VLOOKUP(A5,WorkData,3,0))</f>
        <v>226763.72</v>
      </c>
      <c r="D5" s="49" t="n">
        <f aca="false">IF(ISERROR(VLOOKUP($A5,WorkData,5,0)),0,VLOOKUP($A5,WorkData,5,0))</f>
        <v>76.7475360866855</v>
      </c>
      <c r="E5" s="49" t="n">
        <f aca="false">IF(ISERROR(VLOOKUP($A5,WorkData,6,0)),0,VLOOKUP($A5,WorkData,6,0))</f>
        <v>81.8026421480001</v>
      </c>
      <c r="F5" s="49" t="n">
        <f aca="false">(E5-32)/9*5</f>
        <v>27.6681345266667</v>
      </c>
      <c r="G5" s="124" t="n">
        <f aca="false">10^(R$4-(R$5/(R$6+F5)))*0.0193339296</f>
        <v>0.536110726747545</v>
      </c>
      <c r="H5" s="49" t="n">
        <f aca="false">D5+14.73</f>
        <v>91.4775360866855</v>
      </c>
      <c r="I5" s="125" t="n">
        <f aca="false">G5/H5</f>
        <v>0.0058605724386752</v>
      </c>
      <c r="J5" s="125" t="n">
        <f aca="false">1-I5</f>
        <v>0.994139427561325</v>
      </c>
      <c r="K5" s="49" t="n">
        <f aca="false">C5*J5</f>
        <v>225434.754792477</v>
      </c>
      <c r="L5" s="126" t="n">
        <f aca="false">C5*(1-J5)</f>
        <v>1328.96520752346</v>
      </c>
      <c r="M5" s="126" t="n">
        <f aca="false">C5*(1-0.9826)</f>
        <v>3945.68872799999</v>
      </c>
      <c r="Q5" s="130" t="s">
        <v>170</v>
      </c>
      <c r="R5" s="132" t="n">
        <v>1730.63</v>
      </c>
    </row>
    <row r="6" customFormat="false" ht="15" hidden="false" customHeight="false" outlineLevel="0" collapsed="false">
      <c r="A6" s="4" t="s">
        <v>11</v>
      </c>
      <c r="B6" s="4" t="str">
        <f aca="false">VLOOKUP(A6,WorkData,2,0)</f>
        <v>Cypress 34 A CDP</v>
      </c>
      <c r="C6" s="49" t="n">
        <f aca="false">IF(ISERROR(VLOOKUP(A6,WorkData,3,0)),0,VLOOKUP(A6,WorkData,3,0))</f>
        <v>260982.1</v>
      </c>
      <c r="D6" s="49" t="n">
        <f aca="false">IF(ISERROR(VLOOKUP($A6,WorkData,5,0)),0,VLOOKUP($A6,WorkData,5,0))</f>
        <v>69.6057037655324</v>
      </c>
      <c r="E6" s="49" t="n">
        <f aca="false">IF(ISERROR(VLOOKUP($A6,WorkData,6,0)),0,VLOOKUP($A6,WorkData,6,0))</f>
        <v>74.5389554167065</v>
      </c>
      <c r="F6" s="49" t="n">
        <f aca="false">(E6-32)/9*5</f>
        <v>23.6327530092814</v>
      </c>
      <c r="G6" s="124" t="n">
        <f aca="false">10^(R$4-(R$5/(R$6+F6)))*0.0193339296</f>
        <v>0.42189110436751</v>
      </c>
      <c r="H6" s="49" t="n">
        <f aca="false">D6+14.73</f>
        <v>84.3357037655324</v>
      </c>
      <c r="I6" s="125" t="n">
        <f aca="false">G6/H6</f>
        <v>0.00500252070630061</v>
      </c>
      <c r="J6" s="125" t="n">
        <f aca="false">1-I6</f>
        <v>0.994997479293699</v>
      </c>
      <c r="K6" s="49" t="n">
        <f aca="false">C6*J6</f>
        <v>259676.531640776</v>
      </c>
      <c r="L6" s="126" t="n">
        <f aca="false">C6*(1-J6)</f>
        <v>1305.56835922381</v>
      </c>
      <c r="M6" s="126" t="n">
        <f aca="false">C6*(1-0.9826)</f>
        <v>4541.08853999999</v>
      </c>
      <c r="Q6" s="130" t="s">
        <v>171</v>
      </c>
      <c r="R6" s="132" t="n">
        <v>233.426</v>
      </c>
    </row>
    <row r="7" customFormat="false" ht="15" hidden="false" customHeight="false" outlineLevel="0" collapsed="false">
      <c r="A7" s="4" t="s">
        <v>68</v>
      </c>
      <c r="B7" s="4" t="str">
        <f aca="false">VLOOKUP(A7,WorkData,2,0)</f>
        <v>Cypress 34 B CDP</v>
      </c>
      <c r="C7" s="49" t="n">
        <f aca="false">IF(ISERROR(VLOOKUP(A7,WorkData,3,0)),0,VLOOKUP(A7,WorkData,3,0))</f>
        <v>131921.42</v>
      </c>
      <c r="D7" s="49" t="n">
        <f aca="false">IF(ISERROR(VLOOKUP($A7,WorkData,5,0)),0,VLOOKUP($A7,WorkData,5,0))</f>
        <v>69.5052915715093</v>
      </c>
      <c r="E7" s="49" t="n">
        <f aca="false">IF(ISERROR(VLOOKUP($A7,WorkData,6,0)),0,VLOOKUP($A7,WorkData,6,0))</f>
        <v>73.0207136120128</v>
      </c>
      <c r="F7" s="49" t="n">
        <f aca="false">(E7-32)/9*5</f>
        <v>22.7892853400071</v>
      </c>
      <c r="G7" s="124" t="n">
        <f aca="false">10^(R$4-(R$5/(R$6+F7)))*0.0193339296</f>
        <v>0.400900896027008</v>
      </c>
      <c r="H7" s="49" t="n">
        <f aca="false">D7+14.73</f>
        <v>84.2352915715093</v>
      </c>
      <c r="I7" s="125" t="n">
        <f aca="false">G7/H7</f>
        <v>0.00475929849054625</v>
      </c>
      <c r="J7" s="125" t="n">
        <f aca="false">1-I7</f>
        <v>0.995240701509454</v>
      </c>
      <c r="K7" s="49" t="n">
        <f aca="false">C7*J7</f>
        <v>131293.566584923</v>
      </c>
      <c r="L7" s="126" t="n">
        <f aca="false">C7*(1-J7)</f>
        <v>627.853415076716</v>
      </c>
      <c r="M7" s="126" t="n">
        <f aca="false">C7*(1-0.9826)</f>
        <v>2295.432708</v>
      </c>
      <c r="Q7" s="130" t="s">
        <v>172</v>
      </c>
      <c r="R7" s="132" t="s">
        <v>173</v>
      </c>
    </row>
    <row r="8" customFormat="false" ht="15" hidden="false" customHeight="false" outlineLevel="0" collapsed="false">
      <c r="A8" s="4" t="s">
        <v>63</v>
      </c>
      <c r="B8" s="4" t="str">
        <f aca="false">VLOOKUP(A8,WorkData,2,0)</f>
        <v>Cypress 33 B CDP MTR #1</v>
      </c>
      <c r="C8" s="49" t="n">
        <f aca="false">IF(ISERROR(VLOOKUP(A8,WorkData,3,0)),0,VLOOKUP(A8,WorkData,3,0))</f>
        <v>0</v>
      </c>
      <c r="D8" s="49" t="n">
        <f aca="false">IF(ISERROR(VLOOKUP($A8,WorkData,5,0)),0,VLOOKUP($A8,WorkData,5,0))</f>
        <v>47.3303692212669</v>
      </c>
      <c r="E8" s="49" t="n">
        <f aca="false">IF(ISERROR(VLOOKUP($A8,WorkData,6,0)),0,VLOOKUP($A8,WorkData,6,0))</f>
        <v>82.1364990203612</v>
      </c>
      <c r="F8" s="49" t="n">
        <f aca="false">(E8-32)/9*5</f>
        <v>27.8536105668673</v>
      </c>
      <c r="G8" s="124" t="n">
        <f aca="false">10^(R$4-(R$5/(R$6+F8)))*0.0193339296</f>
        <v>0.541950747342342</v>
      </c>
      <c r="H8" s="49" t="n">
        <f aca="false">D8+14.73</f>
        <v>62.0603692212669</v>
      </c>
      <c r="I8" s="125" t="n">
        <f aca="false">G8/H8</f>
        <v>0.00873263814158273</v>
      </c>
      <c r="J8" s="125" t="n">
        <f aca="false">1-I8</f>
        <v>0.991267361858417</v>
      </c>
      <c r="K8" s="49" t="n">
        <f aca="false">C8*J8</f>
        <v>0</v>
      </c>
      <c r="L8" s="126" t="n">
        <f aca="false">C8*(1-J8)</f>
        <v>0</v>
      </c>
      <c r="M8" s="126" t="n">
        <f aca="false">C8*(1-0.9826)</f>
        <v>0</v>
      </c>
    </row>
    <row r="9" customFormat="false" ht="15" hidden="false" customHeight="false" outlineLevel="0" collapsed="false">
      <c r="A9" s="4" t="s">
        <v>64</v>
      </c>
      <c r="B9" s="4" t="str">
        <f aca="false">VLOOKUP(A9,WorkData,2,0)</f>
        <v>Cypress 33 B CDP MTR #2</v>
      </c>
      <c r="C9" s="49" t="n">
        <f aca="false">IF(ISERROR(VLOOKUP(A9,WorkData,3,0)),0,VLOOKUP(A9,WorkData,3,0))</f>
        <v>325254.55</v>
      </c>
      <c r="D9" s="49" t="n">
        <f aca="false">IF(ISERROR(VLOOKUP($A9,WorkData,5,0)),0,VLOOKUP($A9,WorkData,5,0))</f>
        <v>76.9074506929402</v>
      </c>
      <c r="E9" s="49" t="n">
        <f aca="false">IF(ISERROR(VLOOKUP($A9,WorkData,6,0)),0,VLOOKUP($A9,WorkData,6,0))</f>
        <v>87.6471195839257</v>
      </c>
      <c r="F9" s="49" t="n">
        <f aca="false">(E9-32)/9*5</f>
        <v>30.9150664355143</v>
      </c>
      <c r="G9" s="124" t="n">
        <f aca="false">10^(R$4-(R$5/(R$6+F9)))*0.0193339296</f>
        <v>0.646653454328331</v>
      </c>
      <c r="H9" s="49" t="n">
        <f aca="false">D9+14.73</f>
        <v>91.6374506929402</v>
      </c>
      <c r="I9" s="125" t="n">
        <f aca="false">G9/H9</f>
        <v>0.00705665041354266</v>
      </c>
      <c r="J9" s="125" t="n">
        <f aca="false">1-I9</f>
        <v>0.992943349586457</v>
      </c>
      <c r="K9" s="49" t="n">
        <f aca="false">C9*J9</f>
        <v>322959.342345236</v>
      </c>
      <c r="L9" s="126" t="n">
        <f aca="false">C9*(1-J9)</f>
        <v>2295.20765476413</v>
      </c>
      <c r="M9" s="126" t="n">
        <f aca="false">C9*(1-0.9826)</f>
        <v>5659.42916999999</v>
      </c>
    </row>
    <row r="10" customFormat="false" ht="15" hidden="false" customHeight="false" outlineLevel="0" collapsed="false">
      <c r="B10" s="4" t="e">
        <f aca="false">VLOOKUP(A10,WorkData,2,0)</f>
        <v>#N/A</v>
      </c>
      <c r="C10" s="49" t="n">
        <f aca="false">IF(ISERROR(VLOOKUP(A10,WorkData,3,0)),0,VLOOKUP(A10,WorkData,3,0))</f>
        <v>0</v>
      </c>
      <c r="D10" s="49" t="n">
        <f aca="false">IF(ISERROR(VLOOKUP($A10,WorkData,5,0)),0,VLOOKUP($A10,WorkData,5,0))</f>
        <v>0</v>
      </c>
      <c r="E10" s="49" t="n">
        <f aca="false">IF(ISERROR(VLOOKUP($A10,WorkData,6,0)),0,VLOOKUP($A10,WorkData,6,0))</f>
        <v>0</v>
      </c>
      <c r="F10" s="49" t="n">
        <f aca="false">(E10-32)/9*5</f>
        <v>-17.7777777777778</v>
      </c>
      <c r="G10" s="124" t="n">
        <f aca="false">10^(R$4-(R$5/(R$6+F10)))*0.0193339296</f>
        <v>0.021497318204629</v>
      </c>
      <c r="H10" s="49" t="n">
        <f aca="false">D10+14.73</f>
        <v>14.73</v>
      </c>
      <c r="I10" s="125" t="n">
        <f aca="false">G10/H10</f>
        <v>0.00145942418225587</v>
      </c>
      <c r="J10" s="125" t="n">
        <f aca="false">1-I10</f>
        <v>0.998540575817744</v>
      </c>
      <c r="K10" s="49" t="n">
        <f aca="false">C10*J10</f>
        <v>0</v>
      </c>
      <c r="L10" s="126" t="n">
        <f aca="false">C10*(1-J10)</f>
        <v>0</v>
      </c>
      <c r="M10" s="126" t="n">
        <f aca="false">C10*(1-0.9826)</f>
        <v>0</v>
      </c>
    </row>
    <row r="11" customFormat="false" ht="15" hidden="false" customHeight="false" outlineLevel="0" collapsed="false">
      <c r="A11" s="4" t="s">
        <v>12</v>
      </c>
      <c r="B11" s="4" t="str">
        <f aca="false">VLOOKUP(A11,WorkData,2,0)</f>
        <v>Welcome to Golden CDP MTR #1</v>
      </c>
      <c r="C11" s="49" t="n">
        <f aca="false">IF(ISERROR(VLOOKUP(A11,WorkData,3,0)),0,VLOOKUP(A11,WorkData,3,0))</f>
        <v>390995.13</v>
      </c>
      <c r="D11" s="49" t="n">
        <f aca="false">IF(ISERROR(VLOOKUP($A11,WorkData,5,0)),0,VLOOKUP($A11,WorkData,5,0))</f>
        <v>86.9701735366163</v>
      </c>
      <c r="E11" s="49" t="n">
        <f aca="false">IF(ISERROR(VLOOKUP($A11,WorkData,6,0)),0,VLOOKUP($A11,WorkData,6,0))</f>
        <v>94.5263672644228</v>
      </c>
      <c r="F11" s="49" t="n">
        <f aca="false">(E11-32)/9*5</f>
        <v>34.7368707024571</v>
      </c>
      <c r="G11" s="124" t="n">
        <f aca="false">10^(R$4-(R$5/(R$6+F11)))*0.0193339296</f>
        <v>0.801636644905127</v>
      </c>
      <c r="H11" s="49" t="n">
        <f aca="false">D11+14.73</f>
        <v>101.700173536616</v>
      </c>
      <c r="I11" s="125" t="n">
        <f aca="false">G11/H11</f>
        <v>0.00788235277313961</v>
      </c>
      <c r="J11" s="125" t="n">
        <f aca="false">1-I11</f>
        <v>0.99211764722686</v>
      </c>
      <c r="K11" s="49" t="n">
        <f aca="false">C11*J11</f>
        <v>387913.16845276</v>
      </c>
      <c r="L11" s="126" t="n">
        <f aca="false">C11*(1-J11)</f>
        <v>3081.9615472396</v>
      </c>
      <c r="M11" s="126" t="n">
        <f aca="false">C11*(1-0.9826)</f>
        <v>6803.31526199999</v>
      </c>
    </row>
    <row r="12" customFormat="false" ht="15" hidden="false" customHeight="false" outlineLevel="0" collapsed="false">
      <c r="A12" s="4" t="s">
        <v>13</v>
      </c>
      <c r="B12" s="4" t="str">
        <f aca="false">VLOOKUP(A12,WorkData,2,0)</f>
        <v>Welcome to Golden CDP MTR #2</v>
      </c>
      <c r="C12" s="49" t="n">
        <f aca="false">IF(ISERROR(VLOOKUP(A12,WorkData,3,0)),0,VLOOKUP(A12,WorkData,3,0))</f>
        <v>475522.56</v>
      </c>
      <c r="D12" s="49" t="n">
        <f aca="false">IF(ISERROR(VLOOKUP($A12,WorkData,5,0)),0,VLOOKUP($A12,WorkData,5,0))</f>
        <v>86.6335211499817</v>
      </c>
      <c r="E12" s="49" t="n">
        <f aca="false">IF(ISERROR(VLOOKUP($A12,WorkData,6,0)),0,VLOOKUP($A12,WorkData,6,0))</f>
        <v>94.319810597109</v>
      </c>
      <c r="F12" s="49" t="n">
        <f aca="false">(E12-32)/9*5</f>
        <v>34.6221169983939</v>
      </c>
      <c r="G12" s="124" t="n">
        <f aca="false">10^(R$4-(R$5/(R$6+F12)))*0.0193339296</f>
        <v>0.796553036554518</v>
      </c>
      <c r="H12" s="49" t="n">
        <f aca="false">D12+14.73</f>
        <v>101.363521149982</v>
      </c>
      <c r="I12" s="125" t="n">
        <f aca="false">G12/H12</f>
        <v>0.00785837969633972</v>
      </c>
      <c r="J12" s="125" t="n">
        <f aca="false">1-I12</f>
        <v>0.99214162030366</v>
      </c>
      <c r="K12" s="49" t="n">
        <f aca="false">C12*J12</f>
        <v>471785.723169344</v>
      </c>
      <c r="L12" s="126" t="n">
        <f aca="false">C12*(1-J12)</f>
        <v>3736.83683065549</v>
      </c>
      <c r="M12" s="126" t="n">
        <f aca="false">C12*(1-0.9826)</f>
        <v>8274.09254399999</v>
      </c>
      <c r="O12" s="4" t="s">
        <v>174</v>
      </c>
    </row>
    <row r="13" customFormat="false" ht="15" hidden="false" customHeight="false" outlineLevel="0" collapsed="false">
      <c r="A13" s="4" t="s">
        <v>69</v>
      </c>
      <c r="B13" s="4" t="str">
        <f aca="false">VLOOKUP(A13,WorkData,2,0)</f>
        <v>Nailed It A CDP</v>
      </c>
      <c r="C13" s="49" t="n">
        <f aca="false">IF(ISERROR(VLOOKUP(A13,WorkData,3,0)),0,VLOOKUP(A13,WorkData,3,0))</f>
        <v>522485.52</v>
      </c>
      <c r="D13" s="49" t="n">
        <f aca="false">IF(ISERROR(VLOOKUP($A13,WorkData,5,0)),0,VLOOKUP($A13,WorkData,5,0))</f>
        <v>81.9916443128791</v>
      </c>
      <c r="E13" s="49" t="n">
        <f aca="false">IF(ISERROR(VLOOKUP($A13,WorkData,6,0)),0,VLOOKUP($A13,WorkData,6,0))</f>
        <v>88.0177497623365</v>
      </c>
      <c r="F13" s="49" t="n">
        <f aca="false">(E13-32)/9*5</f>
        <v>31.1209720901869</v>
      </c>
      <c r="G13" s="124" t="n">
        <f aca="false">10^(R$4-(R$5/(R$6+F13)))*0.0193339296</f>
        <v>0.654285530698056</v>
      </c>
      <c r="H13" s="49" t="n">
        <f aca="false">D13+14.73</f>
        <v>96.7216443128791</v>
      </c>
      <c r="I13" s="125" t="n">
        <f aca="false">G13/H13</f>
        <v>0.0067646237338723</v>
      </c>
      <c r="J13" s="125" t="n">
        <f aca="false">1-I13</f>
        <v>0.993235376266128</v>
      </c>
      <c r="K13" s="49" t="n">
        <f aca="false">C13*J13</f>
        <v>518951.102050803</v>
      </c>
      <c r="L13" s="126" t="n">
        <f aca="false">C13*(1-J13)</f>
        <v>3534.41794919662</v>
      </c>
      <c r="M13" s="126" t="n">
        <f aca="false">C13*(1-0.9826)</f>
        <v>9091.24804799998</v>
      </c>
      <c r="O13" s="4" t="s">
        <v>175</v>
      </c>
      <c r="T13" s="4" t="s">
        <v>176</v>
      </c>
    </row>
    <row r="14" customFormat="false" ht="15" hidden="false" customHeight="false" outlineLevel="0" collapsed="false">
      <c r="A14" s="4" t="s">
        <v>9</v>
      </c>
      <c r="B14" s="4" t="str">
        <f aca="false">VLOOKUP(A14,WorkData,2,0)</f>
        <v>Nailed It B CDP</v>
      </c>
      <c r="C14" s="49" t="n">
        <f aca="false">IF(ISERROR(VLOOKUP(A14,WorkData,3,0)),0,VLOOKUP(A14,WorkData,3,0))</f>
        <v>786056.19</v>
      </c>
      <c r="D14" s="49" t="n">
        <f aca="false">IF(ISERROR(VLOOKUP($A14,WorkData,5,0)),0,VLOOKUP($A14,WorkData,5,0))</f>
        <v>92.4391822175048</v>
      </c>
      <c r="E14" s="49" t="n">
        <f aca="false">IF(ISERROR(VLOOKUP($A14,WorkData,6,0)),0,VLOOKUP($A14,WorkData,6,0))</f>
        <v>93.1365001657748</v>
      </c>
      <c r="F14" s="49" t="n">
        <f aca="false">(E14-32)/9*5</f>
        <v>33.9647223143193</v>
      </c>
      <c r="G14" s="124" t="n">
        <f aca="false">10^(R$4-(R$5/(R$6+F14)))*0.0193339296</f>
        <v>0.767964682262268</v>
      </c>
      <c r="H14" s="49" t="n">
        <f aca="false">D14+14.73</f>
        <v>107.169182217505</v>
      </c>
      <c r="I14" s="125" t="n">
        <f aca="false">G14/H14</f>
        <v>0.00716590969877561</v>
      </c>
      <c r="J14" s="125" t="n">
        <f aca="false">1-I14</f>
        <v>0.992834090301224</v>
      </c>
      <c r="K14" s="49" t="n">
        <f aca="false">C14*J14</f>
        <v>780423.382324296</v>
      </c>
      <c r="L14" s="126" t="n">
        <f aca="false">C14*(1-J14)</f>
        <v>5632.80767570361</v>
      </c>
      <c r="M14" s="126" t="n">
        <f aca="false">C14*(1-0.9826)</f>
        <v>13677.377706</v>
      </c>
      <c r="O14" s="4" t="s">
        <v>177</v>
      </c>
    </row>
    <row r="15" customFormat="false" ht="15" hidden="false" customHeight="false" outlineLevel="0" collapsed="false">
      <c r="A15" s="4" t="s">
        <v>87</v>
      </c>
      <c r="B15" s="4" t="str">
        <f aca="false">VLOOKUP(A15,WorkData,2,0)</f>
        <v>Mazer CDP</v>
      </c>
      <c r="C15" s="49" t="n">
        <f aca="false">IF(ISERROR(VLOOKUP(A15,WorkData,3,0)),0,VLOOKUP(A15,WorkData,3,0))</f>
        <v>62525.86</v>
      </c>
      <c r="D15" s="49" t="n">
        <f aca="false">IF(ISERROR(VLOOKUP($A15,WorkData,5,0)),0,VLOOKUP($A15,WorkData,5,0))</f>
        <v>70.555804925251</v>
      </c>
      <c r="E15" s="49" t="n">
        <f aca="false">IF(ISERROR(VLOOKUP($A15,WorkData,6,0)),0,VLOOKUP($A15,WorkData,6,0))</f>
        <v>84.839565504966</v>
      </c>
      <c r="F15" s="49" t="n">
        <f aca="false">(E15-32)/9*5</f>
        <v>29.3553141694256</v>
      </c>
      <c r="G15" s="124" t="n">
        <f aca="false">10^(R$4-(R$5/(R$6+F15)))*0.0193339296</f>
        <v>0.591305319859541</v>
      </c>
      <c r="H15" s="49" t="n">
        <f aca="false">D15+14.73</f>
        <v>85.285804925251</v>
      </c>
      <c r="I15" s="125" t="n">
        <f aca="false">G15/H15</f>
        <v>0.00693322083760355</v>
      </c>
      <c r="J15" s="125" t="n">
        <f aca="false">1-I15</f>
        <v>0.993066779162396</v>
      </c>
      <c r="K15" s="49" t="n">
        <f aca="false">C15*J15</f>
        <v>62092.3544045589</v>
      </c>
      <c r="L15" s="126" t="n">
        <f aca="false">C15*(1-J15)</f>
        <v>433.505595441079</v>
      </c>
      <c r="M15" s="126" t="n">
        <f aca="false">C15*(1-0.9826)</f>
        <v>1087.949964</v>
      </c>
    </row>
    <row r="16" customFormat="false" ht="15" hidden="false" customHeight="false" outlineLevel="0" collapsed="false">
      <c r="A16" s="4" t="s">
        <v>66</v>
      </c>
      <c r="B16" s="4" t="str">
        <f aca="false">VLOOKUP(A16,WorkData,2,0)</f>
        <v>Money Graham A CDP MTR #2</v>
      </c>
      <c r="C16" s="49" t="n">
        <f aca="false">IF(ISERROR(VLOOKUP(A16,WorkData,3,0)),0,VLOOKUP(A16,WorkData,3,0))</f>
        <v>397018.39</v>
      </c>
      <c r="D16" s="49" t="n">
        <f aca="false">IF(ISERROR(VLOOKUP($A16,WorkData,5,0)),0,VLOOKUP($A16,WorkData,5,0))</f>
        <v>79.5285223220425</v>
      </c>
      <c r="E16" s="49" t="n">
        <f aca="false">IF(ISERROR(VLOOKUP($A16,WorkData,6,0)),0,VLOOKUP($A16,WorkData,6,0))</f>
        <v>87.8186506354005</v>
      </c>
      <c r="F16" s="49" t="n">
        <f aca="false">(E16-32)/9*5</f>
        <v>31.0103614641114</v>
      </c>
      <c r="G16" s="124" t="n">
        <f aca="false">10^(R$4-(R$5/(R$6+F16)))*0.0193339296</f>
        <v>0.650175996097225</v>
      </c>
      <c r="H16" s="49" t="n">
        <f aca="false">D16+14.73</f>
        <v>94.2585223220425</v>
      </c>
      <c r="I16" s="125" t="n">
        <f aca="false">G16/H16</f>
        <v>0.00689779534073154</v>
      </c>
      <c r="J16" s="125" t="n">
        <f aca="false">1-I16</f>
        <v>0.993102204659268</v>
      </c>
      <c r="K16" s="49" t="n">
        <f aca="false">C16*J16</f>
        <v>394279.838399273</v>
      </c>
      <c r="L16" s="126" t="n">
        <f aca="false">C16*(1-J16)</f>
        <v>2738.55160072674</v>
      </c>
      <c r="M16" s="126" t="n">
        <f aca="false">C16*(1-0.9826)</f>
        <v>6908.11998599999</v>
      </c>
    </row>
    <row r="17" customFormat="false" ht="15" hidden="false" customHeight="false" outlineLevel="0" collapsed="false">
      <c r="A17" s="4" t="s">
        <v>65</v>
      </c>
      <c r="B17" s="4" t="str">
        <f aca="false">VLOOKUP(A17,WorkData,2,0)</f>
        <v>Money Graham B CDP</v>
      </c>
      <c r="C17" s="49" t="n">
        <f aca="false">IF(ISERROR(VLOOKUP(A17,WorkData,3,0)),0,VLOOKUP(A17,WorkData,3,0))</f>
        <v>166498.74</v>
      </c>
      <c r="D17" s="49" t="n">
        <f aca="false">IF(ISERROR(VLOOKUP($A17,WorkData,5,0)),0,VLOOKUP($A17,WorkData,5,0))</f>
        <v>80.3037823893195</v>
      </c>
      <c r="E17" s="49" t="n">
        <f aca="false">IF(ISERROR(VLOOKUP($A17,WorkData,6,0)),0,VLOOKUP($A17,WorkData,6,0))</f>
        <v>95.1078334775595</v>
      </c>
      <c r="F17" s="49" t="n">
        <f aca="false">(E17-32)/9*5</f>
        <v>35.0599074875331</v>
      </c>
      <c r="G17" s="124" t="n">
        <f aca="false">10^(R$4-(R$5/(R$6+F17)))*0.0193339296</f>
        <v>0.816098285127583</v>
      </c>
      <c r="H17" s="49" t="n">
        <f aca="false">D17+14.73</f>
        <v>95.0337823893195</v>
      </c>
      <c r="I17" s="125" t="n">
        <f aca="false">G17/H17</f>
        <v>0.00858745453047759</v>
      </c>
      <c r="J17" s="125" t="n">
        <f aca="false">1-I17</f>
        <v>0.991412545469522</v>
      </c>
      <c r="K17" s="49" t="n">
        <f aca="false">C17*J17</f>
        <v>165068.939640868</v>
      </c>
      <c r="L17" s="126" t="n">
        <f aca="false">C17*(1-J17)</f>
        <v>1429.80035913181</v>
      </c>
      <c r="M17" s="126" t="n">
        <f aca="false">C17*(1-0.9826)</f>
        <v>2897.078076</v>
      </c>
    </row>
    <row r="18" customFormat="false" ht="15" hidden="false" customHeight="false" outlineLevel="0" collapsed="false">
      <c r="A18" s="4" t="s">
        <v>37</v>
      </c>
      <c r="B18" s="4" t="str">
        <f aca="false">VLOOKUP(A18,WorkData,2,0)</f>
        <v>Gateway 22-2H</v>
      </c>
      <c r="C18" s="49" t="n">
        <f aca="false">IF(ISERROR(VLOOKUP(A18,WorkData,3,0)),0,VLOOKUP(A18,WorkData,3,0))</f>
        <v>0</v>
      </c>
      <c r="D18" s="49" t="n">
        <f aca="false">IF(ISERROR(VLOOKUP($A18,WorkData,5,0)),0,VLOOKUP($A18,WorkData,5,0))</f>
        <v>22.3561763237881</v>
      </c>
      <c r="E18" s="49" t="n">
        <f aca="false">IF(ISERROR(VLOOKUP($A18,WorkData,6,0)),0,VLOOKUP($A18,WorkData,6,0))</f>
        <v>78.942673965167</v>
      </c>
      <c r="F18" s="49" t="n">
        <f aca="false">(E18-32)/9*5</f>
        <v>26.0792633139817</v>
      </c>
      <c r="G18" s="124" t="n">
        <f aca="false">10^(R$4-(R$5/(R$6+F18)))*0.0193339296</f>
        <v>0.488282302521275</v>
      </c>
      <c r="H18" s="49" t="n">
        <f aca="false">D18+14.73</f>
        <v>37.0861763237881</v>
      </c>
      <c r="I18" s="125" t="n">
        <f aca="false">G18/H18</f>
        <v>0.0131661538320433</v>
      </c>
      <c r="J18" s="125" t="n">
        <f aca="false">1-I18</f>
        <v>0.986833846167957</v>
      </c>
      <c r="K18" s="49" t="n">
        <f aca="false">C18*J18</f>
        <v>0</v>
      </c>
      <c r="L18" s="126" t="n">
        <f aca="false">C18*(1-J18)</f>
        <v>0</v>
      </c>
      <c r="M18" s="126" t="n">
        <f aca="false">C18*(1-0.9826)</f>
        <v>0</v>
      </c>
    </row>
    <row r="19" customFormat="false" ht="15" hidden="false" customHeight="false" outlineLevel="0" collapsed="false">
      <c r="A19" s="4" t="s">
        <v>38</v>
      </c>
      <c r="B19" s="4" t="str">
        <f aca="false">VLOOKUP(A19,WorkData,2,0)</f>
        <v>Gateway 38-2H</v>
      </c>
      <c r="C19" s="49" t="n">
        <f aca="false">IF(ISERROR(VLOOKUP(A19,WorkData,3,0)),0,VLOOKUP(A19,WorkData,3,0))</f>
        <v>0</v>
      </c>
      <c r="D19" s="49" t="n">
        <f aca="false">IF(ISERROR(VLOOKUP($A19,WorkData,5,0)),0,VLOOKUP($A19,WorkData,5,0))</f>
        <v>13.4219181999083</v>
      </c>
      <c r="E19" s="49" t="n">
        <f aca="false">IF(ISERROR(VLOOKUP($A19,WorkData,6,0)),0,VLOOKUP($A19,WorkData,6,0))</f>
        <v>76.9571803154484</v>
      </c>
      <c r="F19" s="49" t="n">
        <f aca="false">(E19-32)/9*5</f>
        <v>24.9762112863602</v>
      </c>
      <c r="G19" s="124" t="n">
        <f aca="false">10^(R$4-(R$5/(R$6+F19)))*0.0193339296</f>
        <v>0.457301816740116</v>
      </c>
      <c r="H19" s="49" t="n">
        <f aca="false">D19+14.73</f>
        <v>28.1519181999083</v>
      </c>
      <c r="I19" s="125" t="n">
        <f aca="false">G19/H19</f>
        <v>0.0162440730856346</v>
      </c>
      <c r="J19" s="125" t="n">
        <f aca="false">1-I19</f>
        <v>0.983755926914365</v>
      </c>
      <c r="K19" s="49" t="n">
        <f aca="false">C19*J19</f>
        <v>0</v>
      </c>
      <c r="L19" s="126" t="n">
        <f aca="false">C19*(1-J19)</f>
        <v>0</v>
      </c>
      <c r="M19" s="126" t="n">
        <f aca="false">C19*(1-0.9826)</f>
        <v>0</v>
      </c>
    </row>
    <row r="20" customFormat="false" ht="15" hidden="false" customHeight="false" outlineLevel="0" collapsed="false">
      <c r="A20" s="4" t="s">
        <v>39</v>
      </c>
      <c r="B20" s="4" t="str">
        <f aca="false">VLOOKUP(A20,WorkData,2,0)</f>
        <v>Allman 24-68</v>
      </c>
      <c r="C20" s="49" t="n">
        <f aca="false">IF(ISERROR(VLOOKUP(A20,WorkData,3,0)),0,VLOOKUP(A20,WorkData,3,0))</f>
        <v>46376.34</v>
      </c>
      <c r="D20" s="49" t="n">
        <f aca="false">IF(ISERROR(VLOOKUP($A20,WorkData,5,0)),0,VLOOKUP($A20,WorkData,5,0))</f>
        <v>90.3834337204179</v>
      </c>
      <c r="E20" s="49" t="n">
        <f aca="false">IF(ISERROR(VLOOKUP($A20,WorkData,6,0)),0,VLOOKUP($A20,WorkData,6,0))</f>
        <v>77.1167436605302</v>
      </c>
      <c r="F20" s="49" t="n">
        <f aca="false">(E20-32)/9*5</f>
        <v>25.0648575891834</v>
      </c>
      <c r="G20" s="124" t="n">
        <f aca="false">10^(R$4-(R$5/(R$6+F20)))*0.0193339296</f>
        <v>0.459726700718078</v>
      </c>
      <c r="H20" s="49" t="n">
        <f aca="false">D20+14.73</f>
        <v>105.113433720418</v>
      </c>
      <c r="I20" s="125" t="n">
        <f aca="false">G20/H20</f>
        <v>0.00437362461149224</v>
      </c>
      <c r="J20" s="125" t="n">
        <f aca="false">1-I20</f>
        <v>0.995626375388508</v>
      </c>
      <c r="K20" s="49" t="n">
        <f aca="false">C20*J20</f>
        <v>46173.5072979851</v>
      </c>
      <c r="L20" s="126" t="n">
        <f aca="false">C20*(1-J20)</f>
        <v>202.832702014933</v>
      </c>
      <c r="M20" s="126" t="n">
        <f aca="false">C20*(1-0.9826)</f>
        <v>806.948315999999</v>
      </c>
    </row>
    <row r="21" customFormat="false" ht="15.75" hidden="false" customHeight="true" outlineLevel="0" collapsed="false">
      <c r="A21" s="4" t="s">
        <v>40</v>
      </c>
      <c r="B21" s="4" t="str">
        <f aca="false">VLOOKUP(A21,WorkData,2,0)</f>
        <v>Johnny Cash 23-2H</v>
      </c>
      <c r="C21" s="49" t="n">
        <f aca="false">IF(ISERROR(VLOOKUP(A21,WorkData,3,0)),0,VLOOKUP(A21,WorkData,3,0))</f>
        <v>0</v>
      </c>
      <c r="D21" s="49" t="n">
        <f aca="false">IF(ISERROR(VLOOKUP($A21,WorkData,5,0)),0,VLOOKUP($A21,WorkData,5,0))</f>
        <v>13.3571218649546</v>
      </c>
      <c r="E21" s="49" t="n">
        <f aca="false">IF(ISERROR(VLOOKUP($A21,WorkData,6,0)),0,VLOOKUP($A21,WorkData,6,0))</f>
        <v>78.8065221078934</v>
      </c>
      <c r="F21" s="49" t="n">
        <f aca="false">(E21-32)/9*5</f>
        <v>26.0036233932741</v>
      </c>
      <c r="G21" s="124" t="n">
        <f aca="false">10^(R$4-(R$5/(R$6+F21)))*0.0193339296</f>
        <v>0.486101057850224</v>
      </c>
      <c r="H21" s="49" t="n">
        <f aca="false">D21+14.73</f>
        <v>28.0871218649546</v>
      </c>
      <c r="I21" s="125" t="n">
        <f aca="false">G21/H21</f>
        <v>0.0173069017248347</v>
      </c>
      <c r="J21" s="125" t="n">
        <f aca="false">1-I21</f>
        <v>0.982693098275165</v>
      </c>
      <c r="K21" s="49" t="n">
        <f aca="false">C21*J21</f>
        <v>0</v>
      </c>
      <c r="L21" s="126" t="n">
        <f aca="false">C21*(1-J21)</f>
        <v>0</v>
      </c>
      <c r="M21" s="126" t="n">
        <f aca="false">C21*(1-0.9826)</f>
        <v>0</v>
      </c>
      <c r="R21" s="4" t="n">
        <v>523</v>
      </c>
    </row>
    <row r="22" customFormat="false" ht="15.75" hidden="false" customHeight="true" outlineLevel="0" collapsed="false">
      <c r="A22" s="4" t="s">
        <v>41</v>
      </c>
      <c r="B22" s="4" t="str">
        <f aca="false">VLOOKUP(A22,WorkData,2,0)</f>
        <v>Muddy Waters 30-2H</v>
      </c>
      <c r="C22" s="49" t="n">
        <f aca="false">IF(ISERROR(VLOOKUP(A22,WorkData,3,0)),0,VLOOKUP(A22,WorkData,3,0))</f>
        <v>16278.35</v>
      </c>
      <c r="D22" s="49" t="n">
        <f aca="false">IF(ISERROR(VLOOKUP($A22,WorkData,5,0)),0,VLOOKUP($A22,WorkData,5,0))</f>
        <v>94.6172602500156</v>
      </c>
      <c r="E22" s="49" t="n">
        <f aca="false">IF(ISERROR(VLOOKUP($A22,WorkData,6,0)),0,VLOOKUP($A22,WorkData,6,0))</f>
        <v>81.4497945849687</v>
      </c>
      <c r="F22" s="49" t="n">
        <f aca="false">(E22-32)/9*5</f>
        <v>27.4721081027604</v>
      </c>
      <c r="G22" s="124" t="n">
        <f aca="false">10^(R$4-(R$5/(R$6+F22)))*0.0193339296</f>
        <v>0.52999802449734</v>
      </c>
      <c r="H22" s="49" t="n">
        <f aca="false">D22+14.73</f>
        <v>109.347260250016</v>
      </c>
      <c r="I22" s="125" t="n">
        <f aca="false">G22/H22</f>
        <v>0.00484692550399099</v>
      </c>
      <c r="J22" s="125" t="n">
        <f aca="false">1-I22</f>
        <v>0.995153074496009</v>
      </c>
      <c r="K22" s="49" t="n">
        <f aca="false">C22*J22</f>
        <v>16199.4500502221</v>
      </c>
      <c r="L22" s="126" t="n">
        <f aca="false">C22*(1-J22)</f>
        <v>78.8999497778922</v>
      </c>
      <c r="M22" s="126" t="n">
        <f aca="false">C22*(1-0.9826)</f>
        <v>283.24329</v>
      </c>
      <c r="R22" s="4" t="n">
        <v>5313.5</v>
      </c>
    </row>
    <row r="23" customFormat="false" ht="15.75" hidden="false" customHeight="true" outlineLevel="0" collapsed="false">
      <c r="A23" s="4" t="s">
        <v>42</v>
      </c>
      <c r="B23" s="4" t="str">
        <f aca="false">VLOOKUP(A23,WorkData,2,0)</f>
        <v>BB King 32-2H</v>
      </c>
      <c r="C23" s="49" t="n">
        <f aca="false">IF(ISERROR(VLOOKUP(A23,WorkData,3,0)),0,VLOOKUP(A23,WorkData,3,0))</f>
        <v>12576.36</v>
      </c>
      <c r="D23" s="49" t="n">
        <f aca="false">IF(ISERROR(VLOOKUP($A23,WorkData,5,0)),0,VLOOKUP($A23,WorkData,5,0))</f>
        <v>93.7953254304999</v>
      </c>
      <c r="E23" s="49" t="n">
        <f aca="false">IF(ISERROR(VLOOKUP($A23,WorkData,6,0)),0,VLOOKUP($A23,WorkData,6,0))</f>
        <v>80.6438741754455</v>
      </c>
      <c r="F23" s="49" t="n">
        <f aca="false">(E23-32)/9*5</f>
        <v>27.0243745419142</v>
      </c>
      <c r="G23" s="124" t="n">
        <f aca="false">10^(R$4-(R$5/(R$6+F23)))*0.0193339296</f>
        <v>0.516263021460308</v>
      </c>
      <c r="H23" s="49" t="n">
        <f aca="false">D23+14.73</f>
        <v>108.5253254305</v>
      </c>
      <c r="I23" s="125" t="n">
        <f aca="false">G23/H23</f>
        <v>0.00475707416137559</v>
      </c>
      <c r="J23" s="125" t="n">
        <f aca="false">1-I23</f>
        <v>0.995242925838624</v>
      </c>
      <c r="K23" s="49" t="n">
        <f aca="false">C23*J23</f>
        <v>12516.5333227998</v>
      </c>
      <c r="L23" s="126" t="n">
        <f aca="false">C23*(1-J23)</f>
        <v>59.8266772001577</v>
      </c>
      <c r="M23" s="126" t="n">
        <f aca="false">C23*(1-0.9826)</f>
        <v>218.828664</v>
      </c>
      <c r="R23" s="4" t="n">
        <v>4506.5</v>
      </c>
    </row>
    <row r="24" customFormat="false" ht="15.75" hidden="false" customHeight="true" outlineLevel="0" collapsed="false">
      <c r="A24" s="4" t="s">
        <v>43</v>
      </c>
      <c r="B24" s="4" t="str">
        <f aca="false">VLOOKUP(A24,WorkData,2,0)</f>
        <v>Santana 29-2H</v>
      </c>
      <c r="C24" s="49" t="n">
        <f aca="false">IF(ISERROR(VLOOKUP(A24,WorkData,3,0)),0,VLOOKUP(A24,WorkData,3,0))</f>
        <v>24861.69</v>
      </c>
      <c r="D24" s="49" t="n">
        <f aca="false">IF(ISERROR(VLOOKUP($A24,WorkData,5,0)),0,VLOOKUP($A24,WorkData,5,0))</f>
        <v>92.7763482205855</v>
      </c>
      <c r="E24" s="49" t="n">
        <f aca="false">IF(ISERROR(VLOOKUP($A24,WorkData,6,0)),0,VLOOKUP($A24,WorkData,6,0))</f>
        <v>75.0075733104629</v>
      </c>
      <c r="F24" s="49" t="n">
        <f aca="false">(E24-32)/9*5</f>
        <v>23.8930962835905</v>
      </c>
      <c r="G24" s="124" t="n">
        <f aca="false">10^(R$4-(R$5/(R$6+F24)))*0.0193339296</f>
        <v>0.428560284714734</v>
      </c>
      <c r="H24" s="49" t="n">
        <f aca="false">D24+14.73</f>
        <v>107.506348220586</v>
      </c>
      <c r="I24" s="125" t="n">
        <f aca="false">G24/H24</f>
        <v>0.00398637189159656</v>
      </c>
      <c r="J24" s="125" t="n">
        <f aca="false">1-I24</f>
        <v>0.996013628108403</v>
      </c>
      <c r="K24" s="49" t="n">
        <f aca="false">C24*J24</f>
        <v>24762.5820578064</v>
      </c>
      <c r="L24" s="126" t="n">
        <f aca="false">C24*(1-J24)</f>
        <v>99.1079421935874</v>
      </c>
      <c r="M24" s="126" t="n">
        <f aca="false">C24*(1-0.9826)</f>
        <v>432.593405999999</v>
      </c>
      <c r="R24" s="4" t="n">
        <v>3709.1</v>
      </c>
    </row>
    <row r="25" customFormat="false" ht="15.75" hidden="false" customHeight="true" outlineLevel="0" collapsed="false">
      <c r="A25" s="4" t="s">
        <v>44</v>
      </c>
      <c r="B25" s="4" t="str">
        <f aca="false">VLOOKUP(A25,WorkData,2,0)</f>
        <v>Orbison 28-6H</v>
      </c>
      <c r="C25" s="49" t="n">
        <f aca="false">IF(ISERROR(VLOOKUP(A25,WorkData,3,0)),0,VLOOKUP(A25,WorkData,3,0))</f>
        <v>8689.66</v>
      </c>
      <c r="D25" s="49" t="n">
        <f aca="false">IF(ISERROR(VLOOKUP($A25,WorkData,5,0)),0,VLOOKUP($A25,WorkData,5,0))</f>
        <v>90.7908598746099</v>
      </c>
      <c r="E25" s="49" t="n">
        <f aca="false">IF(ISERROR(VLOOKUP($A25,WorkData,6,0)),0,VLOOKUP($A25,WorkData,6,0))</f>
        <v>75.4517805073168</v>
      </c>
      <c r="F25" s="49" t="n">
        <f aca="false">(E25-32)/9*5</f>
        <v>24.1398780596204</v>
      </c>
      <c r="G25" s="124" t="n">
        <f aca="false">10^(R$4-(R$5/(R$6+F25)))*0.0193339296</f>
        <v>0.434966633405803</v>
      </c>
      <c r="H25" s="49" t="n">
        <f aca="false">D25+14.73</f>
        <v>105.52085987461</v>
      </c>
      <c r="I25" s="125" t="n">
        <f aca="false">G25/H25</f>
        <v>0.00412209144166066</v>
      </c>
      <c r="J25" s="125" t="n">
        <f aca="false">1-I25</f>
        <v>0.995877908558339</v>
      </c>
      <c r="K25" s="49" t="n">
        <f aca="false">C25*J25</f>
        <v>8653.84042688306</v>
      </c>
      <c r="L25" s="126" t="n">
        <f aca="false">C25*(1-J25)</f>
        <v>35.8195731169409</v>
      </c>
      <c r="M25" s="126" t="n">
        <f aca="false">C25*(1-0.9826)</f>
        <v>151.200084</v>
      </c>
      <c r="R25" s="4" t="n">
        <v>6127.4</v>
      </c>
    </row>
    <row r="26" customFormat="false" ht="15.75" hidden="false" customHeight="true" outlineLevel="0" collapsed="false">
      <c r="A26" s="4" t="s">
        <v>45</v>
      </c>
      <c r="B26" s="4" t="str">
        <f aca="false">VLOOKUP(A26,WorkData,2,0)</f>
        <v>Johnny Cash 2</v>
      </c>
      <c r="C26" s="49" t="n">
        <f aca="false">IF(ISERROR(VLOOKUP(A26,WorkData,3,0)),0,VLOOKUP(A26,WorkData,3,0))</f>
        <v>411540.2</v>
      </c>
      <c r="D26" s="49" t="n">
        <f aca="false">IF(ISERROR(VLOOKUP($A26,WorkData,5,0)),0,VLOOKUP($A26,WorkData,5,0))</f>
        <v>91.9550793211202</v>
      </c>
      <c r="E26" s="49" t="n">
        <f aca="false">IF(ISERROR(VLOOKUP($A26,WorkData,6,0)),0,VLOOKUP($A26,WorkData,6,0))</f>
        <v>79.9335406297994</v>
      </c>
      <c r="F26" s="49" t="n">
        <f aca="false">(E26-32)/9*5</f>
        <v>26.629744794333</v>
      </c>
      <c r="G26" s="124" t="n">
        <f aca="false">10^(R$4-(R$5/(R$6+F26)))*0.0193339296</f>
        <v>0.504414683808182</v>
      </c>
      <c r="H26" s="49" t="n">
        <f aca="false">D26+14.73</f>
        <v>106.68507932112</v>
      </c>
      <c r="I26" s="125" t="n">
        <f aca="false">G26/H26</f>
        <v>0.00472807150744953</v>
      </c>
      <c r="J26" s="125" t="n">
        <f aca="false">1-I26</f>
        <v>0.99527192849255</v>
      </c>
      <c r="K26" s="49" t="n">
        <f aca="false">C26*J26</f>
        <v>409594.40850621</v>
      </c>
      <c r="L26" s="126" t="n">
        <f aca="false">C26*(1-J26)</f>
        <v>1945.7914937901</v>
      </c>
      <c r="M26" s="126" t="n">
        <f aca="false">C26*(1-0.9826)</f>
        <v>7160.79947999999</v>
      </c>
      <c r="R26" s="4" t="n">
        <v>281.8</v>
      </c>
    </row>
    <row r="27" customFormat="false" ht="15.75" hidden="false" customHeight="true" outlineLevel="0" collapsed="false">
      <c r="B27" s="4" t="e">
        <f aca="false">VLOOKUP(A27,WorkData,2,0)</f>
        <v>#N/A</v>
      </c>
      <c r="C27" s="49" t="n">
        <f aca="false">IF(ISERROR(VLOOKUP(A27,WorkData,3,0)),0,VLOOKUP(A27,WorkData,3,0))</f>
        <v>0</v>
      </c>
      <c r="D27" s="49" t="n">
        <f aca="false">IF(ISERROR(VLOOKUP($A27,WorkData,5,0)),0,VLOOKUP($A27,WorkData,5,0))</f>
        <v>0</v>
      </c>
      <c r="E27" s="49" t="n">
        <f aca="false">IF(ISERROR(VLOOKUP($A27,WorkData,6,0)),0,VLOOKUP($A27,WorkData,6,0))</f>
        <v>0</v>
      </c>
      <c r="F27" s="49" t="n">
        <f aca="false">(E27-32)/9*5</f>
        <v>-17.7777777777778</v>
      </c>
      <c r="G27" s="124" t="n">
        <f aca="false">10^(R$4-(R$5/(R$6+F27)))*0.0193339296</f>
        <v>0.021497318204629</v>
      </c>
      <c r="H27" s="49" t="n">
        <f aca="false">D27+14.73</f>
        <v>14.73</v>
      </c>
      <c r="I27" s="125" t="n">
        <f aca="false">G27/H27</f>
        <v>0.00145942418225587</v>
      </c>
      <c r="J27" s="125" t="n">
        <f aca="false">1-I27</f>
        <v>0.998540575817744</v>
      </c>
      <c r="K27" s="49" t="n">
        <f aca="false">C27*J27</f>
        <v>0</v>
      </c>
      <c r="L27" s="126" t="n">
        <f aca="false">C27*(1-J27)</f>
        <v>0</v>
      </c>
      <c r="M27" s="126" t="n">
        <f aca="false">C27*(1-0.9826)</f>
        <v>0</v>
      </c>
      <c r="R27" s="4" t="n">
        <v>1593.6</v>
      </c>
    </row>
    <row r="28" customFormat="false" ht="15.75" hidden="false" customHeight="true" outlineLevel="0" collapsed="false">
      <c r="A28" s="4" t="s">
        <v>49</v>
      </c>
      <c r="B28" s="4" t="str">
        <f aca="false">VLOOKUP(A28,WorkData,2,0)</f>
        <v>Cosmo CDP MTR #1</v>
      </c>
      <c r="C28" s="49" t="n">
        <f aca="false">IF(ISERROR(VLOOKUP(A28,WorkData,3,0)),0,VLOOKUP(A28,WorkData,3,0))</f>
        <v>346861.43</v>
      </c>
      <c r="D28" s="49" t="n">
        <f aca="false">IF(ISERROR(VLOOKUP($A28,WorkData,5,0)),0,VLOOKUP($A28,WorkData,5,0))</f>
        <v>977.042301992486</v>
      </c>
      <c r="E28" s="49" t="n">
        <f aca="false">IF(ISERROR(VLOOKUP($A28,WorkData,6,0)),0,VLOOKUP($A28,WorkData,6,0))</f>
        <v>95.8978307126668</v>
      </c>
      <c r="F28" s="49" t="n">
        <f aca="false">(E28-32)/9*5</f>
        <v>35.4987948403704</v>
      </c>
      <c r="G28" s="124" t="n">
        <f aca="false">10^(R$4-(R$5/(R$6+F28)))*0.0193339296</f>
        <v>0.836107663357762</v>
      </c>
      <c r="H28" s="49" t="n">
        <f aca="false">D28+14.73</f>
        <v>991.772301992486</v>
      </c>
      <c r="I28" s="125" t="n">
        <f aca="false">G28/H28</f>
        <v>0.000843043974587724</v>
      </c>
      <c r="J28" s="125" t="n">
        <f aca="false">1-I28</f>
        <v>0.999156956025412</v>
      </c>
      <c r="K28" s="49" t="n">
        <f aca="false">C28*J28</f>
        <v>346569.010561422</v>
      </c>
      <c r="L28" s="126" t="n">
        <f aca="false">C28*(1-J28)</f>
        <v>292.419438578365</v>
      </c>
      <c r="M28" s="126" t="n">
        <f aca="false">C28*(1-0.9826)</f>
        <v>6035.38888199999</v>
      </c>
      <c r="R28" s="4" t="n">
        <v>8042.3</v>
      </c>
    </row>
    <row r="29" customFormat="false" ht="15.75" hidden="false" customHeight="true" outlineLevel="0" collapsed="false">
      <c r="A29" s="4" t="s">
        <v>51</v>
      </c>
      <c r="B29" s="4" t="str">
        <f aca="false">VLOOKUP(A29,WorkData,2,0)</f>
        <v>Four Points CDP MTR #1</v>
      </c>
      <c r="C29" s="49" t="n">
        <f aca="false">IF(ISERROR(VLOOKUP(A29,WorkData,3,0)),0,VLOOKUP(A29,WorkData,3,0))</f>
        <v>294377.62</v>
      </c>
      <c r="D29" s="49" t="n">
        <f aca="false">IF(ISERROR(VLOOKUP($A29,WorkData,5,0)),0,VLOOKUP($A29,WorkData,5,0))</f>
        <v>978.056360050745</v>
      </c>
      <c r="E29" s="49" t="n">
        <f aca="false">IF(ISERROR(VLOOKUP($A29,WorkData,6,0)),0,VLOOKUP($A29,WorkData,6,0))</f>
        <v>98.7163792291282</v>
      </c>
      <c r="F29" s="49" t="n">
        <f aca="false">(E29-32)/9*5</f>
        <v>37.0646551272934</v>
      </c>
      <c r="G29" s="124" t="n">
        <f aca="false">10^(R$4-(R$5/(R$6+F29)))*0.0193339296</f>
        <v>0.910995660562597</v>
      </c>
      <c r="H29" s="49" t="n">
        <f aca="false">D29+14.73</f>
        <v>992.786360050745</v>
      </c>
      <c r="I29" s="125" t="n">
        <f aca="false">G29/H29</f>
        <v>0.000917615004819398</v>
      </c>
      <c r="J29" s="125" t="n">
        <f aca="false">1-I29</f>
        <v>0.999082384995181</v>
      </c>
      <c r="K29" s="49" t="n">
        <f aca="false">C29*J29</f>
        <v>294107.494678805</v>
      </c>
      <c r="L29" s="126" t="n">
        <f aca="false">C29*(1-J29)</f>
        <v>270.125321195009</v>
      </c>
      <c r="M29" s="126" t="n">
        <f aca="false">C29*(1-0.9826)</f>
        <v>5122.17058799999</v>
      </c>
      <c r="R29" s="4" t="n">
        <v>301.1</v>
      </c>
    </row>
    <row r="30" customFormat="false" ht="15.75" hidden="false" customHeight="true" outlineLevel="0" collapsed="false">
      <c r="A30" s="4" t="s">
        <v>55</v>
      </c>
      <c r="B30" s="4" t="str">
        <f aca="false">VLOOKUP(A30,WorkData,2,0)</f>
        <v>Penner CDP MTR #1</v>
      </c>
      <c r="C30" s="49" t="n">
        <f aca="false">IF(ISERROR(VLOOKUP(A30,WorkData,3,0)),0,VLOOKUP(A30,WorkData,3,0))</f>
        <v>164104.08</v>
      </c>
      <c r="D30" s="49" t="n">
        <f aca="false">IF(ISERROR(VLOOKUP($A30,WorkData,5,0)),0,VLOOKUP($A30,WorkData,5,0))</f>
        <v>965.560787038263</v>
      </c>
      <c r="E30" s="49" t="n">
        <f aca="false">IF(ISERROR(VLOOKUP($A30,WorkData,6,0)),0,VLOOKUP($A30,WorkData,6,0))</f>
        <v>97.7972614856566</v>
      </c>
      <c r="F30" s="49" t="n">
        <f aca="false">(E30-32)/9*5</f>
        <v>36.5540341586981</v>
      </c>
      <c r="G30" s="124" t="n">
        <f aca="false">10^(R$4-(R$5/(R$6+F30)))*0.0193339296</f>
        <v>0.885962566165946</v>
      </c>
      <c r="H30" s="49" t="n">
        <f aca="false">D30+14.73</f>
        <v>980.290787038263</v>
      </c>
      <c r="I30" s="125" t="n">
        <f aca="false">G30/H30</f>
        <v>0.000903775265340084</v>
      </c>
      <c r="J30" s="125" t="n">
        <f aca="false">1-I30</f>
        <v>0.99909622473466</v>
      </c>
      <c r="K30" s="49" t="n">
        <f aca="false">C30*J30</f>
        <v>163955.766791555</v>
      </c>
      <c r="L30" s="126" t="n">
        <f aca="false">C30*(1-J30)</f>
        <v>148.313208445399</v>
      </c>
      <c r="M30" s="126" t="n">
        <f aca="false">C30*(1-0.9826)</f>
        <v>2855.41099199999</v>
      </c>
      <c r="R30" s="4" t="n">
        <v>362.7</v>
      </c>
    </row>
    <row r="31" customFormat="false" ht="15.75" hidden="false" customHeight="true" outlineLevel="0" collapsed="false">
      <c r="A31" s="4" t="s">
        <v>53</v>
      </c>
      <c r="B31" s="4" t="str">
        <f aca="false">VLOOKUP(A31,WorkData,2,0)</f>
        <v>Wise West CDP MTR # 1</v>
      </c>
      <c r="C31" s="49" t="n">
        <f aca="false">IF(ISERROR(VLOOKUP(A31,WorkData,3,0)),0,VLOOKUP(A31,WorkData,3,0))</f>
        <v>0</v>
      </c>
      <c r="D31" s="49" t="n">
        <f aca="false">IF(ISERROR(VLOOKUP($A31,WorkData,5,0)),0,VLOOKUP($A31,WorkData,5,0))</f>
        <v>945.909429324571</v>
      </c>
      <c r="E31" s="49" t="n">
        <f aca="false">IF(ISERROR(VLOOKUP($A31,WorkData,6,0)),0,VLOOKUP($A31,WorkData,6,0))</f>
        <v>76.9860555382185</v>
      </c>
      <c r="F31" s="49" t="n">
        <f aca="false">(E31-32)/9*5</f>
        <v>24.9922530767881</v>
      </c>
      <c r="G31" s="124" t="n">
        <f aca="false">10^(R$4-(R$5/(R$6+F31)))*0.0193339296</f>
        <v>0.457739806708496</v>
      </c>
      <c r="H31" s="49" t="n">
        <f aca="false">D31+14.73</f>
        <v>960.639429324571</v>
      </c>
      <c r="I31" s="125" t="n">
        <f aca="false">G31/H31</f>
        <v>0.000476494918629703</v>
      </c>
      <c r="J31" s="125" t="n">
        <f aca="false">1-I31</f>
        <v>0.99952350508137</v>
      </c>
      <c r="K31" s="49" t="n">
        <f aca="false">C31*J31</f>
        <v>0</v>
      </c>
      <c r="L31" s="126" t="n">
        <f aca="false">C31*(1-J31)</f>
        <v>0</v>
      </c>
      <c r="M31" s="126" t="n">
        <f aca="false">C31*(1-0.9826)</f>
        <v>0</v>
      </c>
      <c r="R31" s="4" t="n">
        <f aca="false">SUM(R21:R30)</f>
        <v>30761</v>
      </c>
    </row>
    <row r="32" customFormat="false" ht="15.75" hidden="false" customHeight="true" outlineLevel="0" collapsed="false">
      <c r="A32" s="4" t="s">
        <v>54</v>
      </c>
      <c r="B32" s="4" t="str">
        <f aca="false">VLOOKUP(A32,WorkData,2,0)</f>
        <v>Wise West CDP MTR # 2</v>
      </c>
      <c r="C32" s="49" t="n">
        <f aca="false">IF(ISERROR(VLOOKUP(A32,WorkData,3,0)),0,VLOOKUP(A32,WorkData,3,0))</f>
        <v>45361.55</v>
      </c>
      <c r="D32" s="49" t="n">
        <f aca="false">IF(ISERROR(VLOOKUP($A32,WorkData,5,0)),0,VLOOKUP($A32,WorkData,5,0))</f>
        <v>975.91517588566</v>
      </c>
      <c r="E32" s="49" t="n">
        <f aca="false">IF(ISERROR(VLOOKUP($A32,WorkData,6,0)),0,VLOOKUP($A32,WorkData,6,0))</f>
        <v>74.9318121595437</v>
      </c>
      <c r="F32" s="49" t="n">
        <f aca="false">(E32-32)/9*5</f>
        <v>23.8510067553021</v>
      </c>
      <c r="G32" s="124" t="n">
        <f aca="false">10^(R$4-(R$5/(R$6+F32)))*0.0193339296</f>
        <v>0.427475901270038</v>
      </c>
      <c r="H32" s="49" t="n">
        <f aca="false">D32+14.73</f>
        <v>990.64517588566</v>
      </c>
      <c r="I32" s="125" t="n">
        <f aca="false">G32/H32</f>
        <v>0.000431512625989284</v>
      </c>
      <c r="J32" s="125" t="n">
        <f aca="false">1-I32</f>
        <v>0.999568487374011</v>
      </c>
      <c r="K32" s="49" t="n">
        <f aca="false">C32*J32</f>
        <v>45341.9759184406</v>
      </c>
      <c r="L32" s="126" t="n">
        <f aca="false">C32*(1-J32)</f>
        <v>19.5740815594442</v>
      </c>
      <c r="M32" s="126" t="n">
        <f aca="false">C32*(1-0.9826)</f>
        <v>789.290969999999</v>
      </c>
    </row>
    <row r="33" customFormat="false" ht="15.75" hidden="false" customHeight="true" outlineLevel="0" collapsed="false">
      <c r="A33" s="4" t="s">
        <v>57</v>
      </c>
      <c r="B33" s="4" t="str">
        <f aca="false">VLOOKUP(A33,WorkData,2,0)</f>
        <v>Pronghorn CDP</v>
      </c>
      <c r="C33" s="49" t="n">
        <f aca="false">IF(ISERROR(VLOOKUP(A33,WorkData,3,0)),0,VLOOKUP(A33,WorkData,3,0))</f>
        <v>815353.24</v>
      </c>
      <c r="D33" s="49" t="n">
        <f aca="false">IF(ISERROR(VLOOKUP($A33,WorkData,5,0)),0,VLOOKUP($A33,WorkData,5,0))</f>
        <v>989.166348175679</v>
      </c>
      <c r="E33" s="49" t="n">
        <f aca="false">IF(ISERROR(VLOOKUP($A33,WorkData,6,0)),0,VLOOKUP($A33,WorkData,6,0))</f>
        <v>94.4882714358941</v>
      </c>
      <c r="F33" s="49" t="n">
        <f aca="false">(E33-32)/9*5</f>
        <v>34.7157063532745</v>
      </c>
      <c r="G33" s="124" t="n">
        <f aca="false">10^(R$4-(R$5/(R$6+F33)))*0.0193339296</f>
        <v>0.800696954669826</v>
      </c>
      <c r="H33" s="49" t="n">
        <f aca="false">D33+14.73</f>
        <v>1003.89634817568</v>
      </c>
      <c r="I33" s="125" t="n">
        <f aca="false">G33/H33</f>
        <v>0.000797589269175932</v>
      </c>
      <c r="J33" s="125" t="n">
        <f aca="false">1-I33</f>
        <v>0.999202410730824</v>
      </c>
      <c r="K33" s="49" t="n">
        <f aca="false">C33*J33</f>
        <v>814702.923005188</v>
      </c>
      <c r="L33" s="126" t="n">
        <f aca="false">C33*(1-J33)</f>
        <v>650.31699481184</v>
      </c>
      <c r="M33" s="126" t="n">
        <f aca="false">C33*(1-0.9826)</f>
        <v>14187.146376</v>
      </c>
    </row>
    <row r="34" customFormat="false" ht="15.75" hidden="false" customHeight="true" outlineLevel="0" collapsed="false">
      <c r="A34" s="4" t="s">
        <v>74</v>
      </c>
      <c r="B34" s="4" t="str">
        <f aca="false">VLOOKUP(A34,WorkData,2,0)</f>
        <v>Brazos CDP</v>
      </c>
      <c r="C34" s="49" t="n">
        <f aca="false">IF(ISERROR(VLOOKUP(A34,WorkData,3,0)),0,VLOOKUP(A34,WorkData,3,0))</f>
        <v>70367.31</v>
      </c>
      <c r="D34" s="49" t="n">
        <f aca="false">IF(ISERROR(VLOOKUP($A34,WorkData,5,0)),0,VLOOKUP($A34,WorkData,5,0))</f>
        <v>973.057708345714</v>
      </c>
      <c r="E34" s="49" t="n">
        <f aca="false">IF(ISERROR(VLOOKUP($A34,WorkData,6,0)),0,VLOOKUP($A34,WorkData,6,0))</f>
        <v>91.995710297439</v>
      </c>
      <c r="F34" s="49" t="n">
        <f aca="false">(E34-32)/9*5</f>
        <v>33.3309501652439</v>
      </c>
      <c r="G34" s="124" t="n">
        <f aca="false">10^(R$4-(R$5/(R$6+F34)))*0.0193339296</f>
        <v>0.74124899461674</v>
      </c>
      <c r="H34" s="49" t="n">
        <f aca="false">D34+14.73</f>
        <v>987.787708345714</v>
      </c>
      <c r="I34" s="125" t="n">
        <f aca="false">G34/H34</f>
        <v>0.000750413260211688</v>
      </c>
      <c r="J34" s="125" t="n">
        <f aca="false">1-I34</f>
        <v>0.999249586739788</v>
      </c>
      <c r="K34" s="49" t="n">
        <f aca="false">C34*J34</f>
        <v>70314.5054374906</v>
      </c>
      <c r="L34" s="126" t="n">
        <f aca="false">C34*(1-J34)</f>
        <v>52.8045625094228</v>
      </c>
      <c r="M34" s="126" t="n">
        <f aca="false">C34*(1-0.9826)</f>
        <v>1224.391194</v>
      </c>
    </row>
    <row r="35" customFormat="false" ht="15.75" hidden="false" customHeight="true" outlineLevel="0" collapsed="false">
      <c r="B35" s="4" t="e">
        <f aca="false">VLOOKUP(A35,WorkData,2,0)</f>
        <v>#N/A</v>
      </c>
      <c r="C35" s="49" t="n">
        <f aca="false">IF(ISERROR(VLOOKUP(A35,WorkData,3,0)),0,VLOOKUP(A35,WorkData,3,0))</f>
        <v>0</v>
      </c>
      <c r="D35" s="49" t="n">
        <f aca="false">IF(ISERROR(VLOOKUP($A35,WorkData,5,0)),0,VLOOKUP($A35,WorkData,5,0))</f>
        <v>0</v>
      </c>
      <c r="E35" s="49" t="n">
        <f aca="false">IF(ISERROR(VLOOKUP($A35,WorkData,6,0)),0,VLOOKUP($A35,WorkData,6,0))</f>
        <v>0</v>
      </c>
      <c r="F35" s="49" t="n">
        <f aca="false">(E35-32)/9*5</f>
        <v>-17.7777777777778</v>
      </c>
      <c r="G35" s="124" t="n">
        <f aca="false">10^(R$4-(R$5/(R$6+F35)))*0.0193339296</f>
        <v>0.021497318204629</v>
      </c>
      <c r="H35" s="49" t="n">
        <f aca="false">D35+14.73</f>
        <v>14.73</v>
      </c>
      <c r="I35" s="125" t="n">
        <f aca="false">G35/H35</f>
        <v>0.00145942418225587</v>
      </c>
      <c r="J35" s="125" t="n">
        <f aca="false">1-I35</f>
        <v>0.998540575817744</v>
      </c>
      <c r="K35" s="49" t="n">
        <f aca="false">C35*J35</f>
        <v>0</v>
      </c>
      <c r="L35" s="126" t="n">
        <f aca="false">C35*(1-J35)</f>
        <v>0</v>
      </c>
      <c r="M35" s="126" t="n">
        <f aca="false">C35*(1-0.9826)</f>
        <v>0</v>
      </c>
    </row>
    <row r="36" customFormat="false" ht="15.75" hidden="false" customHeight="true" outlineLevel="0" collapsed="false">
      <c r="B36" s="4" t="e">
        <f aca="false">VLOOKUP(A36,WorkData,2,0)</f>
        <v>#N/A</v>
      </c>
      <c r="C36" s="49" t="n">
        <f aca="false">IF(ISERROR(VLOOKUP(A36,WorkData,3,0)),0,VLOOKUP(A36,WorkData,3,0))</f>
        <v>0</v>
      </c>
      <c r="D36" s="49" t="n">
        <f aca="false">IF(ISERROR(VLOOKUP($A36,WorkData,5,0)),0,VLOOKUP($A36,WorkData,5,0))</f>
        <v>0</v>
      </c>
      <c r="E36" s="49" t="n">
        <f aca="false">IF(ISERROR(VLOOKUP($A36,WorkData,6,0)),0,VLOOKUP($A36,WorkData,6,0))</f>
        <v>0</v>
      </c>
      <c r="F36" s="49" t="n">
        <f aca="false">(E36-32)/9*5</f>
        <v>-17.7777777777778</v>
      </c>
      <c r="G36" s="124" t="n">
        <f aca="false">10^(R$4-(R$5/(R$6+F36)))*0.0193339296</f>
        <v>0.021497318204629</v>
      </c>
      <c r="H36" s="49" t="n">
        <f aca="false">D36+14.73</f>
        <v>14.73</v>
      </c>
      <c r="I36" s="125" t="n">
        <f aca="false">G36/H36</f>
        <v>0.00145942418225587</v>
      </c>
      <c r="J36" s="125" t="n">
        <f aca="false">1-I36</f>
        <v>0.998540575817744</v>
      </c>
      <c r="K36" s="49" t="n">
        <f aca="false">C36*J36</f>
        <v>0</v>
      </c>
      <c r="L36" s="126" t="n">
        <f aca="false">C36*(1-J36)</f>
        <v>0</v>
      </c>
      <c r="M36" s="126" t="n">
        <f aca="false">C36*(1-0.9826)</f>
        <v>0</v>
      </c>
    </row>
    <row r="37" customFormat="false" ht="15.75" hidden="false" customHeight="true" outlineLevel="0" collapsed="false">
      <c r="B37" s="4" t="e">
        <f aca="false">VLOOKUP(A37,WorkData,2,0)</f>
        <v>#N/A</v>
      </c>
      <c r="C37" s="49" t="n">
        <f aca="false">IF(ISERROR(VLOOKUP(A37,WorkData,3,0)),0,VLOOKUP(A37,WorkData,3,0))</f>
        <v>0</v>
      </c>
      <c r="D37" s="49" t="n">
        <f aca="false">IF(ISERROR(VLOOKUP($A37,WorkData,5,0)),0,VLOOKUP($A37,WorkData,5,0))</f>
        <v>0</v>
      </c>
      <c r="E37" s="49" t="n">
        <f aca="false">IF(ISERROR(VLOOKUP($A37,WorkData,6,0)),0,VLOOKUP($A37,WorkData,6,0))</f>
        <v>0</v>
      </c>
      <c r="F37" s="49" t="n">
        <f aca="false">(E37-32)/9*5</f>
        <v>-17.7777777777778</v>
      </c>
      <c r="G37" s="124" t="n">
        <f aca="false">10^(R$4-(R$5/(R$6+F37)))*0.0193339296</f>
        <v>0.021497318204629</v>
      </c>
      <c r="H37" s="49" t="n">
        <f aca="false">D37+14.73</f>
        <v>14.73</v>
      </c>
      <c r="I37" s="125" t="n">
        <f aca="false">G37/H37</f>
        <v>0.00145942418225587</v>
      </c>
      <c r="J37" s="125" t="n">
        <f aca="false">1-I37</f>
        <v>0.998540575817744</v>
      </c>
      <c r="K37" s="49" t="n">
        <f aca="false">C37*J37</f>
        <v>0</v>
      </c>
      <c r="L37" s="126" t="n">
        <f aca="false">C37*(1-J37)</f>
        <v>0</v>
      </c>
      <c r="M37" s="126" t="n">
        <f aca="false">C37*(1-0.9826)</f>
        <v>0</v>
      </c>
    </row>
    <row r="38" customFormat="false" ht="15.75" hidden="false" customHeight="true" outlineLevel="0" collapsed="false">
      <c r="B38" s="4" t="e">
        <f aca="false">VLOOKUP(A38,WorkData,2,0)</f>
        <v>#N/A</v>
      </c>
      <c r="C38" s="49" t="n">
        <f aca="false">IF(ISERROR(VLOOKUP(A38,WorkData,3,0)),0,VLOOKUP(A38,WorkData,3,0))</f>
        <v>0</v>
      </c>
      <c r="D38" s="49" t="n">
        <f aca="false">IF(ISERROR(VLOOKUP($A38,WorkData,5,0)),0,VLOOKUP($A38,WorkData,5,0))</f>
        <v>0</v>
      </c>
      <c r="E38" s="49" t="n">
        <f aca="false">IF(ISERROR(VLOOKUP($A38,WorkData,6,0)),0,VLOOKUP($A38,WorkData,6,0))</f>
        <v>0</v>
      </c>
      <c r="F38" s="49" t="n">
        <f aca="false">(E38-32)/9*5</f>
        <v>-17.7777777777778</v>
      </c>
      <c r="G38" s="124" t="n">
        <f aca="false">10^(R$4-(R$5/(R$6+F38)))*0.0193339296</f>
        <v>0.021497318204629</v>
      </c>
      <c r="H38" s="49" t="n">
        <f aca="false">D38+14.73</f>
        <v>14.73</v>
      </c>
      <c r="I38" s="125" t="n">
        <f aca="false">G38/H38</f>
        <v>0.00145942418225587</v>
      </c>
      <c r="J38" s="125" t="n">
        <f aca="false">1-I38</f>
        <v>0.998540575817744</v>
      </c>
      <c r="K38" s="49" t="n">
        <f aca="false">C38*J38</f>
        <v>0</v>
      </c>
      <c r="L38" s="126" t="n">
        <f aca="false">C38*(1-J38)</f>
        <v>0</v>
      </c>
      <c r="M38" s="126" t="n">
        <f aca="false">C38*(1-0.9826)</f>
        <v>0</v>
      </c>
    </row>
    <row r="39" customFormat="false" ht="15.75" hidden="false" customHeight="true" outlineLevel="0" collapsed="false">
      <c r="B39" s="4" t="e">
        <f aca="false">VLOOKUP(A39,WorkData,2,0)</f>
        <v>#N/A</v>
      </c>
      <c r="C39" s="49" t="n">
        <f aca="false">IF(ISERROR(VLOOKUP(A39,WorkData,3,0)),0,VLOOKUP(A39,WorkData,3,0))</f>
        <v>0</v>
      </c>
      <c r="D39" s="49" t="n">
        <f aca="false">IF(ISERROR(VLOOKUP($A39,WorkData,5,0)),0,VLOOKUP($A39,WorkData,5,0))</f>
        <v>0</v>
      </c>
      <c r="E39" s="49" t="n">
        <f aca="false">IF(ISERROR(VLOOKUP($A39,WorkData,6,0)),0,VLOOKUP($A39,WorkData,6,0))</f>
        <v>0</v>
      </c>
      <c r="F39" s="49" t="n">
        <f aca="false">(E39-32)/9*5</f>
        <v>-17.7777777777778</v>
      </c>
      <c r="G39" s="124" t="n">
        <f aca="false">10^(R$4-(R$5/(R$6+F39)))*0.0193339296</f>
        <v>0.021497318204629</v>
      </c>
      <c r="H39" s="49" t="n">
        <f aca="false">D39+14.73</f>
        <v>14.73</v>
      </c>
      <c r="I39" s="125" t="n">
        <f aca="false">G39/H39</f>
        <v>0.00145942418225587</v>
      </c>
      <c r="J39" s="125" t="n">
        <f aca="false">1-I39</f>
        <v>0.998540575817744</v>
      </c>
      <c r="K39" s="49" t="n">
        <f aca="false">C39*J39</f>
        <v>0</v>
      </c>
      <c r="L39" s="126" t="n">
        <f aca="false">C39*(1-J39)</f>
        <v>0</v>
      </c>
      <c r="M39" s="126" t="n">
        <f aca="false">C39*(1-0.9826)</f>
        <v>0</v>
      </c>
    </row>
    <row r="40" customFormat="false" ht="15.75" hidden="false" customHeight="true" outlineLevel="0" collapsed="false">
      <c r="B40" s="4" t="e">
        <f aca="false">VLOOKUP(A40,WorkData,2,0)</f>
        <v>#N/A</v>
      </c>
      <c r="C40" s="49" t="n">
        <f aca="false">IF(ISERROR(VLOOKUP(A40,WorkData,3,0)),0,VLOOKUP(A40,WorkData,3,0))</f>
        <v>0</v>
      </c>
      <c r="D40" s="49" t="n">
        <f aca="false">IF(ISERROR(VLOOKUP($A40,WorkData,5,0)),0,VLOOKUP($A40,WorkData,5,0))</f>
        <v>0</v>
      </c>
      <c r="E40" s="49" t="n">
        <f aca="false">IF(ISERROR(VLOOKUP($A40,WorkData,6,0)),0,VLOOKUP($A40,WorkData,6,0))</f>
        <v>0</v>
      </c>
      <c r="F40" s="49" t="n">
        <f aca="false">(E40-32)/9*5</f>
        <v>-17.7777777777778</v>
      </c>
      <c r="G40" s="124" t="n">
        <f aca="false">10^(R$4-(R$5/(R$6+F40)))*0.0193339296</f>
        <v>0.021497318204629</v>
      </c>
      <c r="H40" s="49" t="n">
        <f aca="false">D40+14.73</f>
        <v>14.73</v>
      </c>
      <c r="I40" s="125" t="n">
        <f aca="false">G40/H40</f>
        <v>0.00145942418225587</v>
      </c>
      <c r="J40" s="125" t="n">
        <f aca="false">1-I40</f>
        <v>0.998540575817744</v>
      </c>
      <c r="K40" s="49" t="n">
        <f aca="false">C40*J40</f>
        <v>0</v>
      </c>
      <c r="L40" s="126" t="n">
        <f aca="false">C40*(1-J40)</f>
        <v>0</v>
      </c>
      <c r="M40" s="126" t="n">
        <f aca="false">C40*(1-0.9826)</f>
        <v>0</v>
      </c>
    </row>
    <row r="41" customFormat="false" ht="15.75" hidden="false" customHeight="true" outlineLevel="0" collapsed="false">
      <c r="A41" s="4" t="s">
        <v>60</v>
      </c>
      <c r="B41" s="4" t="str">
        <f aca="false">VLOOKUP(A41,WorkData,2,0)</f>
        <v>University CDP MTR #1</v>
      </c>
      <c r="C41" s="49" t="n">
        <f aca="false">IF(ISERROR(VLOOKUP(A41,WorkData,3,0)),0,VLOOKUP(A41,WorkData,3,0))</f>
        <v>14399.14</v>
      </c>
      <c r="D41" s="49" t="n">
        <f aca="false">IF(ISERROR(VLOOKUP($A41,WorkData,5,0)),0,VLOOKUP($A41,WorkData,5,0))</f>
        <v>71.1374473111294</v>
      </c>
      <c r="E41" s="49" t="n">
        <f aca="false">IF(ISERROR(VLOOKUP($A41,WorkData,6,0)),0,VLOOKUP($A41,WorkData,6,0))</f>
        <v>79.980892128898</v>
      </c>
      <c r="F41" s="49" t="n">
        <f aca="false">(E41-32)/9*5</f>
        <v>26.6560511827211</v>
      </c>
      <c r="G41" s="124" t="n">
        <f aca="false">10^(R$4-(R$5/(R$6+F41)))*0.0193339296</f>
        <v>0.505197083429724</v>
      </c>
      <c r="H41" s="49" t="n">
        <f aca="false">D41+14.73</f>
        <v>85.8674473111294</v>
      </c>
      <c r="I41" s="125" t="n">
        <f aca="false">G41/H41</f>
        <v>0.00588345291783519</v>
      </c>
      <c r="J41" s="125" t="n">
        <f aca="false">1-I41</f>
        <v>0.994116547082165</v>
      </c>
      <c r="K41" s="49" t="n">
        <f aca="false">C41*J41</f>
        <v>14314.4233377527</v>
      </c>
      <c r="L41" s="126" t="n">
        <f aca="false">C41*(1-J41)</f>
        <v>84.7166622473177</v>
      </c>
      <c r="M41" s="126" t="n">
        <f aca="false">C41*(1-0.9826)</f>
        <v>250.545036</v>
      </c>
    </row>
    <row r="42" customFormat="false" ht="15.75" hidden="false" customHeight="true" outlineLevel="0" collapsed="false">
      <c r="A42" s="4" t="s">
        <v>61</v>
      </c>
      <c r="B42" s="4" t="str">
        <f aca="false">VLOOKUP(A42,WorkData,2,0)</f>
        <v>US Energy 4320 CDP</v>
      </c>
      <c r="C42" s="49" t="n">
        <f aca="false">IF(ISERROR(VLOOKUP(A42,WorkData,3,0)),0,VLOOKUP(A42,WorkData,3,0))</f>
        <v>29648.04</v>
      </c>
      <c r="D42" s="49" t="n">
        <f aca="false">IF(ISERROR(VLOOKUP($A42,WorkData,5,0)),0,VLOOKUP($A42,WorkData,5,0))</f>
        <v>77.2879731657529</v>
      </c>
      <c r="E42" s="49" t="n">
        <f aca="false">IF(ISERROR(VLOOKUP($A42,WorkData,6,0)),0,VLOOKUP($A42,WorkData,6,0))</f>
        <v>90.7630518904569</v>
      </c>
      <c r="F42" s="49" t="n">
        <f aca="false">(E42-32)/9*5</f>
        <v>32.6461399391427</v>
      </c>
      <c r="G42" s="124" t="n">
        <f aca="false">10^(R$4-(R$5/(R$6+F42)))*0.0193339296</f>
        <v>0.713290294676404</v>
      </c>
      <c r="H42" s="49" t="n">
        <f aca="false">D42+14.73</f>
        <v>92.0179731657529</v>
      </c>
      <c r="I42" s="125" t="n">
        <f aca="false">G42/H42</f>
        <v>0.00775164101247424</v>
      </c>
      <c r="J42" s="125" t="n">
        <f aca="false">1-I42</f>
        <v>0.992248358987526</v>
      </c>
      <c r="K42" s="49" t="n">
        <f aca="false">C42*J42</f>
        <v>29418.2190371965</v>
      </c>
      <c r="L42" s="126" t="n">
        <f aca="false">C42*(1-J42)</f>
        <v>229.820962803478</v>
      </c>
      <c r="M42" s="126" t="n">
        <f aca="false">C42*(1-0.9826)</f>
        <v>515.875895999999</v>
      </c>
    </row>
    <row r="43" customFormat="false" ht="15.75" hidden="false" customHeight="true" outlineLevel="0" collapsed="false">
      <c r="A43" s="4" t="s">
        <v>75</v>
      </c>
      <c r="B43" s="4" t="str">
        <f aca="false">VLOOKUP(A43,WorkData,2,0)</f>
        <v>Abigail CDP</v>
      </c>
      <c r="C43" s="49" t="n">
        <f aca="false">IF(ISERROR(VLOOKUP(A43,WorkData,3,0)),0,VLOOKUP(A43,WorkData,3,0))</f>
        <v>24409.81</v>
      </c>
      <c r="D43" s="49" t="n">
        <f aca="false">IF(ISERROR(VLOOKUP($A43,WorkData,5,0)),0,VLOOKUP($A43,WorkData,5,0))</f>
        <v>51.0619260629611</v>
      </c>
      <c r="E43" s="49" t="n">
        <f aca="false">IF(ISERROR(VLOOKUP($A43,WorkData,6,0)),0,VLOOKUP($A43,WorkData,6,0))</f>
        <v>82.8667216876883</v>
      </c>
      <c r="F43" s="49" t="n">
        <f aca="false">(E43-32)/9*5</f>
        <v>28.2592898264935</v>
      </c>
      <c r="G43" s="124" t="n">
        <f aca="false">10^(R$4-(R$5/(R$6+F43)))*0.0193339296</f>
        <v>0.554917225112015</v>
      </c>
      <c r="H43" s="49" t="n">
        <f aca="false">D43+14.73</f>
        <v>65.7919260629611</v>
      </c>
      <c r="I43" s="125" t="n">
        <f aca="false">G43/H43</f>
        <v>0.00843442741866189</v>
      </c>
      <c r="J43" s="125" t="n">
        <f aca="false">1-I43</f>
        <v>0.991565572581338</v>
      </c>
      <c r="K43" s="49" t="n">
        <f aca="false">C43*J43</f>
        <v>24203.9272292517</v>
      </c>
      <c r="L43" s="126" t="n">
        <f aca="false">C43*(1-J43)</f>
        <v>205.882770748326</v>
      </c>
      <c r="M43" s="126" t="n">
        <f aca="false">C43*(1-0.9826)</f>
        <v>424.730693999999</v>
      </c>
    </row>
    <row r="44" customFormat="false" ht="15.75" hidden="false" customHeight="true" outlineLevel="0" collapsed="false">
      <c r="A44" s="4" t="s">
        <v>76</v>
      </c>
      <c r="B44" s="4" t="str">
        <f aca="false">VLOOKUP(A44,WorkData,2,0)</f>
        <v>Emma CDP</v>
      </c>
      <c r="C44" s="49" t="n">
        <f aca="false">IF(ISERROR(VLOOKUP(A44,WorkData,3,0)),0,VLOOKUP(A44,WorkData,3,0))</f>
        <v>45054.18</v>
      </c>
      <c r="D44" s="49" t="n">
        <f aca="false">IF(ISERROR(VLOOKUP($A44,WorkData,5,0)),0,VLOOKUP($A44,WorkData,5,0))</f>
        <v>49.5570783675895</v>
      </c>
      <c r="E44" s="49" t="n">
        <f aca="false">IF(ISERROR(VLOOKUP($A44,WorkData,6,0)),0,VLOOKUP($A44,WorkData,6,0))</f>
        <v>85.566671841253</v>
      </c>
      <c r="F44" s="49" t="n">
        <f aca="false">(E44-32)/9*5</f>
        <v>29.7592621340294</v>
      </c>
      <c r="G44" s="124" t="n">
        <f aca="false">10^(R$4-(R$5/(R$6+F44)))*0.0193339296</f>
        <v>0.605229350843433</v>
      </c>
      <c r="H44" s="49" t="n">
        <f aca="false">D44+14.73</f>
        <v>64.2870783675895</v>
      </c>
      <c r="I44" s="125" t="n">
        <f aca="false">G44/H44</f>
        <v>0.0094144790245836</v>
      </c>
      <c r="J44" s="125" t="n">
        <f aca="false">1-I44</f>
        <v>0.990585520975416</v>
      </c>
      <c r="K44" s="49" t="n">
        <f aca="false">C44*J44</f>
        <v>44630.0183674202</v>
      </c>
      <c r="L44" s="126" t="n">
        <f aca="false">C44*(1-J44)</f>
        <v>424.161632579814</v>
      </c>
      <c r="M44" s="126" t="n">
        <f aca="false">C44*(1-0.9826)</f>
        <v>783.942731999999</v>
      </c>
    </row>
    <row r="45" customFormat="false" ht="15.75" hidden="false" customHeight="true" outlineLevel="0" collapsed="false">
      <c r="A45" s="4" t="s">
        <v>15</v>
      </c>
      <c r="B45" s="4" t="str">
        <f aca="false">VLOOKUP(A45,WorkData,2,0)</f>
        <v>Flat Head CDP</v>
      </c>
      <c r="C45" s="49" t="n">
        <f aca="false">IF(ISERROR(VLOOKUP(A45,WorkData,3,0)),0,VLOOKUP(A45,WorkData,3,0))</f>
        <v>23172.18</v>
      </c>
      <c r="D45" s="49" t="n">
        <f aca="false">IF(ISERROR(VLOOKUP($A45,WorkData,5,0)),0,VLOOKUP($A45,WorkData,5,0))</f>
        <v>63.8645241642939</v>
      </c>
      <c r="E45" s="49" t="n">
        <f aca="false">IF(ISERROR(VLOOKUP($A45,WorkData,6,0)),0,VLOOKUP($A45,WorkData,6,0))</f>
        <v>90.353664943909</v>
      </c>
      <c r="F45" s="49" t="n">
        <f aca="false">(E45-32)/9*5</f>
        <v>32.4187027466161</v>
      </c>
      <c r="G45" s="124" t="n">
        <f aca="false">10^(R$4-(R$5/(R$6+F45)))*0.0193339296</f>
        <v>0.704209142639267</v>
      </c>
      <c r="H45" s="49" t="n">
        <f aca="false">D45+14.73</f>
        <v>78.5945241642939</v>
      </c>
      <c r="I45" s="125" t="n">
        <f aca="false">G45/H45</f>
        <v>0.00896002806973154</v>
      </c>
      <c r="J45" s="125" t="n">
        <f aca="false">1-I45</f>
        <v>0.991039971930269</v>
      </c>
      <c r="K45" s="49" t="n">
        <f aca="false">C45*J45</f>
        <v>22964.5566167631</v>
      </c>
      <c r="L45" s="126" t="n">
        <f aca="false">C45*(1-J45)</f>
        <v>207.623383236871</v>
      </c>
      <c r="M45" s="126" t="n">
        <f aca="false">C45*(1-0.9826)</f>
        <v>403.195931999999</v>
      </c>
    </row>
    <row r="46" customFormat="false" ht="15.75" hidden="false" customHeight="true" outlineLevel="0" collapsed="false">
      <c r="A46" s="4" t="s">
        <v>81</v>
      </c>
      <c r="B46" s="4" t="str">
        <f aca="false">VLOOKUP(A46,WorkData,2,0)</f>
        <v>Roy CDP</v>
      </c>
      <c r="C46" s="49" t="n">
        <f aca="false">IF(ISERROR(VLOOKUP(A46,WorkData,3,0)),0,VLOOKUP(A46,WorkData,3,0))</f>
        <v>51042.07</v>
      </c>
      <c r="D46" s="49" t="n">
        <f aca="false">IF(ISERROR(VLOOKUP($A46,WorkData,5,0)),0,VLOOKUP($A46,WorkData,5,0))</f>
        <v>60.0657130651393</v>
      </c>
      <c r="E46" s="49" t="n">
        <f aca="false">IF(ISERROR(VLOOKUP($A46,WorkData,6,0)),0,VLOOKUP($A46,WorkData,6,0))</f>
        <v>86.4286313256076</v>
      </c>
      <c r="F46" s="49" t="n">
        <f aca="false">(E46-32)/9*5</f>
        <v>30.2381285142264</v>
      </c>
      <c r="G46" s="124" t="n">
        <f aca="false">10^(R$4-(R$5/(R$6+F46)))*0.0193339296</f>
        <v>0.622103687620597</v>
      </c>
      <c r="H46" s="49" t="n">
        <f aca="false">D46+14.73</f>
        <v>74.7957130651393</v>
      </c>
      <c r="I46" s="125" t="n">
        <f aca="false">G46/H46</f>
        <v>0.00831737090438337</v>
      </c>
      <c r="J46" s="125" t="n">
        <f aca="false">1-I46</f>
        <v>0.991682629095617</v>
      </c>
      <c r="K46" s="49" t="n">
        <f aca="false">C46*J46</f>
        <v>50617.5341720825</v>
      </c>
      <c r="L46" s="126" t="n">
        <f aca="false">C46*(1-J46)</f>
        <v>424.535827917498</v>
      </c>
      <c r="M46" s="126" t="n">
        <f aca="false">C46*(1-0.9826)</f>
        <v>888.132017999999</v>
      </c>
    </row>
    <row r="47" customFormat="false" ht="15.75" hidden="false" customHeight="true" outlineLevel="0" collapsed="false">
      <c r="A47" s="4" t="s">
        <v>82</v>
      </c>
      <c r="B47" s="4" t="str">
        <f aca="false">VLOOKUP(A47,WorkData,2,0)</f>
        <v>Jeff East CDP</v>
      </c>
      <c r="C47" s="49" t="n">
        <f aca="false">IF(ISERROR(VLOOKUP(A47,WorkData,3,0)),0,VLOOKUP(A47,WorkData,3,0))</f>
        <v>164470.78</v>
      </c>
      <c r="D47" s="49" t="n">
        <f aca="false">IF(ISERROR(VLOOKUP($A47,WorkData,5,0)),0,VLOOKUP($A47,WorkData,5,0))</f>
        <v>65.9651908970752</v>
      </c>
      <c r="E47" s="49" t="n">
        <f aca="false">IF(ISERROR(VLOOKUP($A47,WorkData,6,0)),0,VLOOKUP($A47,WorkData,6,0))</f>
        <v>102.01060011026</v>
      </c>
      <c r="F47" s="49" t="n">
        <f aca="false">(E47-32)/9*5</f>
        <v>38.8947778390333</v>
      </c>
      <c r="G47" s="124" t="n">
        <f aca="false">10^(R$4-(R$5/(R$6+F47)))*0.0193339296</f>
        <v>1.00580691935936</v>
      </c>
      <c r="H47" s="49" t="n">
        <f aca="false">D47+14.73</f>
        <v>80.6951908970752</v>
      </c>
      <c r="I47" s="125" t="n">
        <f aca="false">G47/H47</f>
        <v>0.0124642733746332</v>
      </c>
      <c r="J47" s="125" t="n">
        <f aca="false">1-I47</f>
        <v>0.987535726625367</v>
      </c>
      <c r="K47" s="49" t="n">
        <f aca="false">C47*J47</f>
        <v>162420.771235941</v>
      </c>
      <c r="L47" s="126" t="n">
        <f aca="false">C47*(1-J47)</f>
        <v>2050.00876405915</v>
      </c>
      <c r="M47" s="126" t="n">
        <f aca="false">C47*(1-0.9826)</f>
        <v>2861.79157199999</v>
      </c>
    </row>
    <row r="48" customFormat="false" ht="15.75" hidden="false" customHeight="true" outlineLevel="0" collapsed="false">
      <c r="A48" s="4" t="s">
        <v>83</v>
      </c>
      <c r="B48" s="4" t="str">
        <f aca="false">VLOOKUP(A48,WorkData,2,0)</f>
        <v>Gillette CDP</v>
      </c>
      <c r="C48" s="49" t="n">
        <f aca="false">IF(ISERROR(VLOOKUP(A48,WorkData,3,0)),0,VLOOKUP(A48,WorkData,3,0))</f>
        <v>17299.87</v>
      </c>
      <c r="D48" s="49" t="n">
        <f aca="false">IF(ISERROR(VLOOKUP($A48,WorkData,5,0)),0,VLOOKUP($A48,WorkData,5,0))</f>
        <v>66.6407443036375</v>
      </c>
      <c r="E48" s="49" t="n">
        <f aca="false">IF(ISERROR(VLOOKUP($A48,WorkData,6,0)),0,VLOOKUP($A48,WorkData,6,0))</f>
        <v>80.2689928116755</v>
      </c>
      <c r="F48" s="49" t="n">
        <f aca="false">(E48-32)/9*5</f>
        <v>26.8161071175975</v>
      </c>
      <c r="G48" s="124" t="n">
        <f aca="false">10^(R$4-(R$5/(R$6+F48)))*0.0193339296</f>
        <v>0.509980216233193</v>
      </c>
      <c r="H48" s="49" t="n">
        <f aca="false">D48+14.73</f>
        <v>81.3707443036375</v>
      </c>
      <c r="I48" s="125" t="n">
        <f aca="false">G48/H48</f>
        <v>0.00626736575408707</v>
      </c>
      <c r="J48" s="125" t="n">
        <f aca="false">1-I48</f>
        <v>0.993732634245913</v>
      </c>
      <c r="K48" s="49" t="n">
        <f aca="false">C48*J48</f>
        <v>17191.4453872118</v>
      </c>
      <c r="L48" s="126" t="n">
        <f aca="false">C48*(1-J48)</f>
        <v>108.424612788158</v>
      </c>
      <c r="M48" s="126" t="n">
        <f aca="false">C48*(1-0.9826)</f>
        <v>301.017738</v>
      </c>
    </row>
    <row r="49" customFormat="false" ht="15.75" hidden="false" customHeight="true" outlineLevel="0" collapsed="false">
      <c r="A49" s="4" t="s">
        <v>84</v>
      </c>
      <c r="B49" s="4" t="str">
        <f aca="false">VLOOKUP(A49,WorkData,2,0)</f>
        <v>Yellowtail CDP</v>
      </c>
      <c r="C49" s="49" t="n">
        <f aca="false">IF(ISERROR(VLOOKUP(A49,WorkData,3,0)),0,VLOOKUP(A49,WorkData,3,0))</f>
        <v>93835.16</v>
      </c>
      <c r="D49" s="49" t="n">
        <f aca="false">IF(ISERROR(VLOOKUP($A49,WorkData,5,0)),0,VLOOKUP($A49,WorkData,5,0))</f>
        <v>62.1874120252386</v>
      </c>
      <c r="E49" s="49" t="n">
        <f aca="false">IF(ISERROR(VLOOKUP($A49,WorkData,6,0)),0,VLOOKUP($A49,WorkData,6,0))</f>
        <v>86.1468728699175</v>
      </c>
      <c r="F49" s="49" t="n">
        <f aca="false">(E49-32)/9*5</f>
        <v>30.0815960388431</v>
      </c>
      <c r="G49" s="124" t="n">
        <f aca="false">10^(R$4-(R$5/(R$6+F49)))*0.0193339296</f>
        <v>0.616543430609562</v>
      </c>
      <c r="H49" s="49" t="n">
        <f aca="false">D49+14.73</f>
        <v>76.9174120252386</v>
      </c>
      <c r="I49" s="125" t="n">
        <f aca="false">G49/H49</f>
        <v>0.00801565490018382</v>
      </c>
      <c r="J49" s="125" t="n">
        <f aca="false">1-I49</f>
        <v>0.991984345099816</v>
      </c>
      <c r="K49" s="49" t="n">
        <f aca="false">C49*J49</f>
        <v>93083.0097399365</v>
      </c>
      <c r="L49" s="126" t="n">
        <f aca="false">C49*(1-J49)</f>
        <v>752.150260063536</v>
      </c>
      <c r="M49" s="126" t="n">
        <f aca="false">C49*(1-0.9826)</f>
        <v>1632.731784</v>
      </c>
    </row>
    <row r="50" customFormat="false" ht="15.75" hidden="false" customHeight="true" outlineLevel="0" collapsed="false">
      <c r="B50" s="4" t="e">
        <f aca="false">VLOOKUP(A50,WorkData,2,0)</f>
        <v>#N/A</v>
      </c>
      <c r="C50" s="49" t="n">
        <f aca="false">IF(ISERROR(VLOOKUP(A50,WorkData,3,0)),0,VLOOKUP(A50,WorkData,3,0))</f>
        <v>0</v>
      </c>
      <c r="D50" s="49" t="n">
        <f aca="false">IF(ISERROR(VLOOKUP($A50,WorkData,5,0)),0,VLOOKUP($A50,WorkData,5,0))</f>
        <v>0</v>
      </c>
      <c r="E50" s="49" t="n">
        <f aca="false">IF(ISERROR(VLOOKUP($A50,WorkData,6,0)),0,VLOOKUP($A50,WorkData,6,0))</f>
        <v>0</v>
      </c>
      <c r="F50" s="49" t="n">
        <f aca="false">(E50-32)/9*5</f>
        <v>-17.7777777777778</v>
      </c>
      <c r="G50" s="124" t="n">
        <f aca="false">10^(R$4-(R$5/(R$6+F50)))*0.0193339296</f>
        <v>0.021497318204629</v>
      </c>
      <c r="H50" s="49" t="n">
        <f aca="false">D50+14.73</f>
        <v>14.73</v>
      </c>
      <c r="I50" s="125" t="n">
        <f aca="false">G50/H50</f>
        <v>0.00145942418225587</v>
      </c>
      <c r="J50" s="125" t="n">
        <f aca="false">1-I50</f>
        <v>0.998540575817744</v>
      </c>
      <c r="K50" s="49" t="n">
        <f aca="false">C50*J50</f>
        <v>0</v>
      </c>
      <c r="L50" s="126" t="n">
        <f aca="false">C50*(1-J50)</f>
        <v>0</v>
      </c>
      <c r="M50" s="126" t="n">
        <f aca="false">C50*(1-0.9826)</f>
        <v>0</v>
      </c>
    </row>
    <row r="51" customFormat="false" ht="15.75" hidden="false" customHeight="true" outlineLevel="0" collapsed="false">
      <c r="B51" s="4" t="e">
        <f aca="false">VLOOKUP(A51,WorkData,2,0)</f>
        <v>#N/A</v>
      </c>
      <c r="C51" s="49" t="n">
        <f aca="false">IF(ISERROR(VLOOKUP(A51,WorkData,3,0)),0,VLOOKUP(A51,WorkData,3,0))</f>
        <v>0</v>
      </c>
      <c r="D51" s="49" t="n">
        <f aca="false">IF(ISERROR(VLOOKUP($A51,WorkData,5,0)),0,VLOOKUP($A51,WorkData,5,0))</f>
        <v>0</v>
      </c>
      <c r="E51" s="49" t="n">
        <f aca="false">IF(ISERROR(VLOOKUP($A51,WorkData,6,0)),0,VLOOKUP($A51,WorkData,6,0))</f>
        <v>0</v>
      </c>
      <c r="F51" s="49" t="n">
        <f aca="false">(E51-32)/9*5</f>
        <v>-17.7777777777778</v>
      </c>
      <c r="G51" s="124" t="n">
        <f aca="false">10^(R$4-(R$5/(R$6+F51)))*0.0193339296</f>
        <v>0.021497318204629</v>
      </c>
      <c r="H51" s="49" t="n">
        <f aca="false">D51+14.73</f>
        <v>14.73</v>
      </c>
      <c r="I51" s="125" t="n">
        <f aca="false">G51/H51</f>
        <v>0.00145942418225587</v>
      </c>
      <c r="J51" s="125" t="n">
        <f aca="false">1-I51</f>
        <v>0.998540575817744</v>
      </c>
      <c r="K51" s="49" t="n">
        <f aca="false">C51*J51</f>
        <v>0</v>
      </c>
      <c r="L51" s="126" t="n">
        <f aca="false">C51*(1-J51)</f>
        <v>0</v>
      </c>
      <c r="M51" s="126" t="n">
        <f aca="false">C51*(1-0.9826)</f>
        <v>0</v>
      </c>
    </row>
    <row r="52" customFormat="false" ht="15.75" hidden="false" customHeight="true" outlineLevel="0" collapsed="false">
      <c r="B52" s="4" t="e">
        <f aca="false">VLOOKUP(A52,WorkData,2,0)</f>
        <v>#N/A</v>
      </c>
      <c r="C52" s="49" t="n">
        <f aca="false">IF(ISERROR(VLOOKUP(A52,WorkData,3,0)),0,VLOOKUP(A52,WorkData,3,0))</f>
        <v>0</v>
      </c>
      <c r="D52" s="49" t="n">
        <f aca="false">IF(ISERROR(VLOOKUP($A52,WorkData,5,0)),0,VLOOKUP($A52,WorkData,5,0))</f>
        <v>0</v>
      </c>
      <c r="E52" s="49" t="n">
        <f aca="false">IF(ISERROR(VLOOKUP($A52,WorkData,6,0)),0,VLOOKUP($A52,WorkData,6,0))</f>
        <v>0</v>
      </c>
      <c r="F52" s="49" t="n">
        <f aca="false">(E52-32)/9*5</f>
        <v>-17.7777777777778</v>
      </c>
      <c r="G52" s="124" t="n">
        <f aca="false">10^(R$4-(R$5/(R$6+F52)))*0.0193339296</f>
        <v>0.021497318204629</v>
      </c>
      <c r="H52" s="49" t="n">
        <f aca="false">D52+14.73</f>
        <v>14.73</v>
      </c>
      <c r="I52" s="125" t="n">
        <f aca="false">G52/H52</f>
        <v>0.00145942418225587</v>
      </c>
      <c r="J52" s="125" t="n">
        <f aca="false">1-I52</f>
        <v>0.998540575817744</v>
      </c>
      <c r="K52" s="49" t="n">
        <f aca="false">C52*J52</f>
        <v>0</v>
      </c>
      <c r="L52" s="126" t="n">
        <f aca="false">C52*(1-J52)</f>
        <v>0</v>
      </c>
      <c r="M52" s="126" t="n">
        <f aca="false">C52*(1-0.9826)</f>
        <v>0</v>
      </c>
    </row>
    <row r="53" customFormat="false" ht="15.75" hidden="false" customHeight="true" outlineLevel="0" collapsed="false">
      <c r="B53" s="4" t="e">
        <f aca="false">VLOOKUP(A53,WorkData,2,0)</f>
        <v>#N/A</v>
      </c>
      <c r="C53" s="49" t="n">
        <f aca="false">IF(ISERROR(VLOOKUP(A53,WorkData,3,0)),0,VLOOKUP(A53,WorkData,3,0))</f>
        <v>0</v>
      </c>
      <c r="D53" s="49" t="n">
        <f aca="false">IF(ISERROR(VLOOKUP($A53,WorkData,5,0)),0,VLOOKUP($A53,WorkData,5,0))</f>
        <v>0</v>
      </c>
      <c r="E53" s="49" t="n">
        <f aca="false">IF(ISERROR(VLOOKUP($A53,WorkData,6,0)),0,VLOOKUP($A53,WorkData,6,0))</f>
        <v>0</v>
      </c>
      <c r="F53" s="49" t="n">
        <f aca="false">(E53-32)/9*5</f>
        <v>-17.7777777777778</v>
      </c>
      <c r="G53" s="124" t="n">
        <f aca="false">10^(R$4-(R$5/(R$6+F53)))*0.0193339296</f>
        <v>0.021497318204629</v>
      </c>
      <c r="H53" s="49" t="n">
        <f aca="false">D53+14.73</f>
        <v>14.73</v>
      </c>
      <c r="I53" s="125" t="n">
        <f aca="false">G53/H53</f>
        <v>0.00145942418225587</v>
      </c>
      <c r="J53" s="125" t="n">
        <f aca="false">1-I53</f>
        <v>0.998540575817744</v>
      </c>
      <c r="K53" s="49" t="n">
        <f aca="false">C53*J53</f>
        <v>0</v>
      </c>
      <c r="L53" s="126" t="n">
        <f aca="false">C53*(1-J53)</f>
        <v>0</v>
      </c>
      <c r="M53" s="126" t="n">
        <f aca="false">C53*(1-0.9826)</f>
        <v>0</v>
      </c>
    </row>
    <row r="54" customFormat="false" ht="15.75" hidden="false" customHeight="true" outlineLevel="0" collapsed="false">
      <c r="A54" s="4" t="s">
        <v>77</v>
      </c>
      <c r="B54" s="4" t="str">
        <f aca="false">VLOOKUP(A54,WorkData,2,0)</f>
        <v>Crestwood CDP</v>
      </c>
      <c r="C54" s="49" t="n">
        <f aca="false">IF(ISERROR(VLOOKUP(A54,WorkData,3,0)),0,VLOOKUP(A54,WorkData,3,0))</f>
        <v>300611.73</v>
      </c>
      <c r="D54" s="49" t="n">
        <f aca="false">IF(ISERROR(VLOOKUP($A54,WorkData,5,0)),0,VLOOKUP($A54,WorkData,5,0))</f>
        <v>1081.55375682149</v>
      </c>
      <c r="E54" s="49" t="n">
        <f aca="false">IF(ISERROR(VLOOKUP($A54,WorkData,6,0)),0,VLOOKUP($A54,WorkData,6,0))</f>
        <v>103.890276618182</v>
      </c>
      <c r="F54" s="49" t="n">
        <f aca="false">(E54-32)/9*5</f>
        <v>39.9390425656567</v>
      </c>
      <c r="G54" s="124" t="n">
        <f aca="false">10^(R$4-(R$5/(R$6+F54)))*0.0193339296</f>
        <v>1.06363200979743</v>
      </c>
      <c r="H54" s="49" t="n">
        <f aca="false">D54+14.73</f>
        <v>1096.28375682149</v>
      </c>
      <c r="I54" s="125" t="n">
        <f aca="false">G54/H54</f>
        <v>0.000970215971165411</v>
      </c>
      <c r="J54" s="125" t="n">
        <f aca="false">1-I54</f>
        <v>0.999029784028835</v>
      </c>
      <c r="K54" s="49" t="n">
        <f aca="false">C54*J54</f>
        <v>300320.071698434</v>
      </c>
      <c r="L54" s="126" t="n">
        <f aca="false">C54*(1-J54)</f>
        <v>291.658301565668</v>
      </c>
      <c r="M54" s="126" t="n">
        <f aca="false">C54*(1-0.9826)</f>
        <v>5230.64410199999</v>
      </c>
    </row>
    <row r="55" customFormat="false" ht="15.75" hidden="false" customHeight="true" outlineLevel="0" collapsed="false">
      <c r="A55" s="4" t="s">
        <v>58</v>
      </c>
      <c r="B55" s="4" t="str">
        <f aca="false">VLOOKUP(A55,WorkData,2,0)</f>
        <v>Monument Draw CDP MTR #1</v>
      </c>
      <c r="C55" s="49" t="n">
        <f aca="false">IF(ISERROR(VLOOKUP(A55,WorkData,3,0)),0,VLOOKUP(A55,WorkData,3,0))</f>
        <v>126383.28</v>
      </c>
      <c r="D55" s="49" t="n">
        <f aca="false">IF(ISERROR(VLOOKUP($A55,WorkData,5,0)),0,VLOOKUP($A55,WorkData,5,0))</f>
        <v>1038.17373472406</v>
      </c>
      <c r="E55" s="49" t="n">
        <f aca="false">IF(ISERROR(VLOOKUP($A55,WorkData,6,0)),0,VLOOKUP($A55,WorkData,6,0))</f>
        <v>87.138526581894</v>
      </c>
      <c r="F55" s="49" t="n">
        <f aca="false">(E55-32)/9*5</f>
        <v>30.6325147677189</v>
      </c>
      <c r="G55" s="124" t="n">
        <f aca="false">10^(R$4-(R$5/(R$6+F55)))*0.0193339296</f>
        <v>0.636306165952882</v>
      </c>
      <c r="H55" s="49" t="n">
        <f aca="false">D55+14.73</f>
        <v>1052.90373472406</v>
      </c>
      <c r="I55" s="125" t="n">
        <f aca="false">G55/H55</f>
        <v>0.000604334608158306</v>
      </c>
      <c r="J55" s="125" t="n">
        <f aca="false">1-I55</f>
        <v>0.999395665391842</v>
      </c>
      <c r="K55" s="49" t="n">
        <f aca="false">C55*J55</f>
        <v>126306.902210003</v>
      </c>
      <c r="L55" s="126" t="n">
        <f aca="false">C55*(1-J55)</f>
        <v>76.3777899965659</v>
      </c>
      <c r="M55" s="126" t="n">
        <f aca="false">C55*(1-0.9826)</f>
        <v>2199.069072</v>
      </c>
    </row>
    <row r="56" customFormat="false" ht="15.75" hidden="false" customHeight="true" outlineLevel="0" collapsed="false">
      <c r="A56" s="4" t="s">
        <v>47</v>
      </c>
      <c r="B56" s="4" t="str">
        <f aca="false">VLOOKUP(A56,WorkData,2,0)</f>
        <v>Pinon CDP #1</v>
      </c>
      <c r="C56" s="49" t="n">
        <f aca="false">IF(ISERROR(VLOOKUP(A56,WorkData,3,0)),0,VLOOKUP(A56,WorkData,3,0))</f>
        <v>1151339.8</v>
      </c>
      <c r="D56" s="49" t="n">
        <f aca="false">IF(ISERROR(VLOOKUP($A56,WorkData,5,0)),0,VLOOKUP($A56,WorkData,5,0))</f>
        <v>1152.686725567</v>
      </c>
      <c r="E56" s="49" t="n">
        <f aca="false">IF(ISERROR(VLOOKUP($A56,WorkData,6,0)),0,VLOOKUP($A56,WorkData,6,0))</f>
        <v>103.958267604457</v>
      </c>
      <c r="F56" s="49" t="n">
        <f aca="false">(E56-32)/9*5</f>
        <v>39.9768153358094</v>
      </c>
      <c r="G56" s="124" t="n">
        <f aca="false">10^(R$4-(R$5/(R$6+F56)))*0.0193339296</f>
        <v>1.06577629028311</v>
      </c>
      <c r="H56" s="49" t="n">
        <f aca="false">D56+14.73</f>
        <v>1167.416725567</v>
      </c>
      <c r="I56" s="125" t="n">
        <f aca="false">G56/H56</f>
        <v>0.000912935601265673</v>
      </c>
      <c r="J56" s="125" t="n">
        <f aca="false">1-I56</f>
        <v>0.999087064398734</v>
      </c>
      <c r="K56" s="49" t="n">
        <f aca="false">C56*J56</f>
        <v>1150288.70090743</v>
      </c>
      <c r="L56" s="126" t="n">
        <f aca="false">C56*(1-J56)</f>
        <v>1051.09909257414</v>
      </c>
      <c r="M56" s="126" t="n">
        <f aca="false">C56*(1-0.9826)</f>
        <v>20033.31252</v>
      </c>
    </row>
    <row r="57" customFormat="false" ht="15.75" hidden="false" customHeight="true" outlineLevel="0" collapsed="false">
      <c r="A57" s="4" t="s">
        <v>48</v>
      </c>
      <c r="B57" s="4" t="str">
        <f aca="false">VLOOKUP(A57,WorkData,2,0)</f>
        <v>Pinon CDP #2</v>
      </c>
      <c r="C57" s="49" t="n">
        <f aca="false">IF(ISERROR(VLOOKUP(A57,WorkData,3,0)),0,VLOOKUP(A57,WorkData,3,0))</f>
        <v>131184.94</v>
      </c>
      <c r="D57" s="49" t="n">
        <f aca="false">IF(ISERROR(VLOOKUP($A57,WorkData,5,0)),0,VLOOKUP($A57,WorkData,5,0))</f>
        <v>1152.59191602113</v>
      </c>
      <c r="E57" s="49" t="n">
        <f aca="false">IF(ISERROR(VLOOKUP($A57,WorkData,6,0)),0,VLOOKUP($A57,WorkData,6,0))</f>
        <v>103.970331203093</v>
      </c>
      <c r="F57" s="49" t="n">
        <f aca="false">(E57-32)/9*5</f>
        <v>39.9835173350517</v>
      </c>
      <c r="G57" s="124" t="n">
        <f aca="false">10^(R$4-(R$5/(R$6+F57)))*0.0193339296</f>
        <v>1.0661571379675</v>
      </c>
      <c r="H57" s="49" t="n">
        <f aca="false">D57+14.73</f>
        <v>1167.32191602113</v>
      </c>
      <c r="I57" s="125" t="n">
        <f aca="false">G57/H57</f>
        <v>0.000913336007261425</v>
      </c>
      <c r="J57" s="125" t="n">
        <f aca="false">1-I57</f>
        <v>0.999086663992739</v>
      </c>
      <c r="K57" s="49" t="n">
        <f aca="false">C57*J57</f>
        <v>131065.124070688</v>
      </c>
      <c r="L57" s="126" t="n">
        <f aca="false">C57*(1-J57)</f>
        <v>119.815929312426</v>
      </c>
      <c r="M57" s="126" t="n">
        <f aca="false">C57*(1-0.9826)</f>
        <v>2282.617956</v>
      </c>
    </row>
    <row r="58" customFormat="false" ht="15.75" hidden="false" customHeight="true" outlineLevel="0" collapsed="false">
      <c r="A58" s="4" t="s">
        <v>72</v>
      </c>
      <c r="B58" s="4" t="str">
        <f aca="false">VLOOKUP(A58,WorkData,2,0)</f>
        <v>Quito CDP MTR #1</v>
      </c>
      <c r="C58" s="49" t="n">
        <f aca="false">IF(ISERROR(VLOOKUP(A58,WorkData,3,0)),0,VLOOKUP(A58,WorkData,3,0))</f>
        <v>0</v>
      </c>
      <c r="D58" s="49" t="n">
        <f aca="false">IF(ISERROR(VLOOKUP($A58,WorkData,5,0)),0,VLOOKUP($A58,WorkData,5,0))</f>
        <v>1072.10043367776</v>
      </c>
      <c r="E58" s="49" t="n">
        <f aca="false">IF(ISERROR(VLOOKUP($A58,WorkData,6,0)),0,VLOOKUP($A58,WorkData,6,0))</f>
        <v>80.4026728855666</v>
      </c>
      <c r="F58" s="49" t="n">
        <f aca="false">(E58-32)/9*5</f>
        <v>26.8903738253148</v>
      </c>
      <c r="G58" s="124" t="n">
        <f aca="false">10^(R$4-(R$5/(R$6+F58)))*0.0193339296</f>
        <v>0.512212951968664</v>
      </c>
      <c r="H58" s="49" t="n">
        <f aca="false">D58+14.73</f>
        <v>1086.83043367776</v>
      </c>
      <c r="I58" s="125" t="n">
        <f aca="false">G58/H58</f>
        <v>0.000471290585998195</v>
      </c>
      <c r="J58" s="125" t="n">
        <f aca="false">1-I58</f>
        <v>0.999528709414002</v>
      </c>
      <c r="K58" s="49" t="n">
        <f aca="false">C58*J58</f>
        <v>0</v>
      </c>
      <c r="L58" s="126" t="n">
        <f aca="false">C58*(1-J58)</f>
        <v>0</v>
      </c>
      <c r="M58" s="126" t="n">
        <f aca="false">C58*(1-0.9826)</f>
        <v>0</v>
      </c>
    </row>
    <row r="59" customFormat="false" ht="15.75" hidden="false" customHeight="true" outlineLevel="0" collapsed="false">
      <c r="A59" s="4" t="s">
        <v>73</v>
      </c>
      <c r="B59" s="4" t="str">
        <f aca="false">VLOOKUP(A59,WorkData,2,0)</f>
        <v>Quito CDP MTR #2</v>
      </c>
      <c r="C59" s="49" t="n">
        <f aca="false">IF(ISERROR(VLOOKUP(A59,WorkData,3,0)),0,VLOOKUP(A59,WorkData,3,0))</f>
        <v>374548.34</v>
      </c>
      <c r="D59" s="49" t="n">
        <f aca="false">IF(ISERROR(VLOOKUP($A59,WorkData,5,0)),0,VLOOKUP($A59,WorkData,5,0))</f>
        <v>1072.8447571181</v>
      </c>
      <c r="E59" s="49" t="n">
        <f aca="false">IF(ISERROR(VLOOKUP($A59,WorkData,6,0)),0,VLOOKUP($A59,WorkData,6,0))</f>
        <v>87.6964028917184</v>
      </c>
      <c r="F59" s="49" t="n">
        <f aca="false">(E59-32)/9*5</f>
        <v>30.9424460509547</v>
      </c>
      <c r="G59" s="124" t="n">
        <f aca="false">10^(R$4-(R$5/(R$6+F59)))*0.0193339296</f>
        <v>0.647663831841361</v>
      </c>
      <c r="H59" s="49" t="n">
        <f aca="false">D59+14.73</f>
        <v>1087.5747571181</v>
      </c>
      <c r="I59" s="125" t="n">
        <f aca="false">G59/H59</f>
        <v>0.00059551201202717</v>
      </c>
      <c r="J59" s="125" t="n">
        <f aca="false">1-I59</f>
        <v>0.999404487987973</v>
      </c>
      <c r="K59" s="49" t="n">
        <f aca="false">C59*J59</f>
        <v>374325.291964445</v>
      </c>
      <c r="L59" s="126" t="n">
        <f aca="false">C59*(1-J59)</f>
        <v>223.048035554819</v>
      </c>
      <c r="M59" s="126" t="n">
        <f aca="false">C59*(1-0.9826)</f>
        <v>6517.14111599999</v>
      </c>
    </row>
    <row r="60" customFormat="false" ht="15.75" hidden="false" customHeight="true" outlineLevel="0" collapsed="false">
      <c r="A60" s="4" t="s">
        <v>78</v>
      </c>
      <c r="B60" s="4" t="str">
        <f aca="false">VLOOKUP(A60,WorkData,2,0)</f>
        <v>Jim Ed CDP</v>
      </c>
      <c r="C60" s="49" t="n">
        <f aca="false">IF(ISERROR(VLOOKUP(A60,WorkData,3,0)),0,VLOOKUP(A60,WorkData,3,0))</f>
        <v>187564.33</v>
      </c>
      <c r="D60" s="49" t="n">
        <f aca="false">IF(ISERROR(VLOOKUP($A60,WorkData,5,0)),0,VLOOKUP($A60,WorkData,5,0))</f>
        <v>1010.776796584</v>
      </c>
      <c r="E60" s="49" t="n">
        <f aca="false">IF(ISERROR(VLOOKUP($A60,WorkData,6,0)),0,VLOOKUP($A60,WorkData,6,0))</f>
        <v>85.8545616006886</v>
      </c>
      <c r="F60" s="49" t="n">
        <f aca="false">(E60-32)/9*5</f>
        <v>29.9192008892714</v>
      </c>
      <c r="G60" s="124" t="n">
        <f aca="false">10^(R$4-(R$5/(R$6+F60)))*0.0193339296</f>
        <v>0.610820550421507</v>
      </c>
      <c r="H60" s="49" t="n">
        <f aca="false">D60+14.73</f>
        <v>1025.506796584</v>
      </c>
      <c r="I60" s="125" t="n">
        <f aca="false">G60/H60</f>
        <v>0.00059562798847962</v>
      </c>
      <c r="J60" s="125" t="n">
        <f aca="false">1-I60</f>
        <v>0.99940437201152</v>
      </c>
      <c r="K60" s="49" t="n">
        <f aca="false">C60*J60</f>
        <v>187452.611435412</v>
      </c>
      <c r="L60" s="126" t="n">
        <f aca="false">C60*(1-J60)</f>
        <v>111.718564588438</v>
      </c>
      <c r="M60" s="126" t="n">
        <f aca="false">C60*(1-0.9826)</f>
        <v>3263.61934199999</v>
      </c>
    </row>
    <row r="61" customFormat="false" ht="15.75" hidden="false" customHeight="true" outlineLevel="0" collapsed="false">
      <c r="A61" s="4" t="s">
        <v>79</v>
      </c>
      <c r="B61" s="4" t="str">
        <f aca="false">VLOOKUP(A61,WorkData,2,0)</f>
        <v>Parker CDP</v>
      </c>
      <c r="C61" s="49" t="n">
        <f aca="false">IF(ISERROR(VLOOKUP(A61,WorkData,3,0)),0,VLOOKUP(A61,WorkData,3,0))</f>
        <v>425503.15</v>
      </c>
      <c r="D61" s="49" t="n">
        <f aca="false">IF(ISERROR(VLOOKUP($A61,WorkData,5,0)),0,VLOOKUP($A61,WorkData,5,0))</f>
        <v>1078.86716495236</v>
      </c>
      <c r="E61" s="49" t="n">
        <f aca="false">IF(ISERROR(VLOOKUP($A61,WorkData,6,0)),0,VLOOKUP($A61,WorkData,6,0))</f>
        <v>102.10348821627</v>
      </c>
      <c r="F61" s="49" t="n">
        <f aca="false">(E61-32)/9*5</f>
        <v>38.9463823423722</v>
      </c>
      <c r="G61" s="124" t="n">
        <f aca="false">10^(R$4-(R$5/(R$6+F61)))*0.0193339296</f>
        <v>1.00859933755112</v>
      </c>
      <c r="H61" s="49" t="n">
        <f aca="false">D61+14.73</f>
        <v>1093.59716495236</v>
      </c>
      <c r="I61" s="125" t="n">
        <f aca="false">G61/H61</f>
        <v>0.000922276840023681</v>
      </c>
      <c r="J61" s="125" t="n">
        <f aca="false">1-I61</f>
        <v>0.999077723159976</v>
      </c>
      <c r="K61" s="49" t="n">
        <f aca="false">C61*J61</f>
        <v>425110.718299398</v>
      </c>
      <c r="L61" s="126" t="n">
        <f aca="false">C61*(1-J61)</f>
        <v>392.431700602114</v>
      </c>
      <c r="M61" s="126" t="n">
        <f aca="false">C61*(1-0.9826)</f>
        <v>7403.75480999999</v>
      </c>
    </row>
    <row r="62" customFormat="false" ht="15.75" hidden="false" customHeight="true" outlineLevel="0" collapsed="false">
      <c r="A62" s="4" t="s">
        <v>85</v>
      </c>
      <c r="B62" s="4" t="str">
        <f aca="false">VLOOKUP(A62,WorkData,2,0)</f>
        <v>Wild Jenny CDP</v>
      </c>
      <c r="C62" s="49" t="n">
        <f aca="false">IF(ISERROR(VLOOKUP(A62,WorkData,3,0)),0,VLOOKUP(A62,WorkData,3,0))</f>
        <v>135025.2</v>
      </c>
      <c r="D62" s="49" t="n">
        <f aca="false">IF(ISERROR(VLOOKUP($A62,WorkData,5,0)),0,VLOOKUP($A62,WorkData,5,0))</f>
        <v>64.1920752716389</v>
      </c>
      <c r="E62" s="49" t="n">
        <f aca="false">IF(ISERROR(VLOOKUP($A62,WorkData,6,0)),0,VLOOKUP($A62,WorkData,6,0))</f>
        <v>99.6528658427098</v>
      </c>
      <c r="F62" s="49" t="n">
        <f aca="false">(E62-32)/9*5</f>
        <v>37.5849254681721</v>
      </c>
      <c r="G62" s="124" t="n">
        <f aca="false">10^(R$4-(R$5/(R$6+F62)))*0.0193339296</f>
        <v>0.93712822668745</v>
      </c>
      <c r="H62" s="49" t="n">
        <f aca="false">D62+14.73</f>
        <v>78.9220752716389</v>
      </c>
      <c r="I62" s="125" t="n">
        <f aca="false">G62/H62</f>
        <v>0.0118740950926846</v>
      </c>
      <c r="J62" s="125" t="n">
        <f aca="false">1-I62</f>
        <v>0.988125904907315</v>
      </c>
      <c r="K62" s="49" t="n">
        <f aca="false">C62*J62</f>
        <v>133421.897935291</v>
      </c>
      <c r="L62" s="126" t="n">
        <f aca="false">C62*(1-J62)</f>
        <v>1603.30206470875</v>
      </c>
      <c r="M62" s="126" t="n">
        <f aca="false">C62*(1-0.9826)</f>
        <v>2349.43848</v>
      </c>
    </row>
    <row r="63" customFormat="false" ht="15.75" hidden="false" customHeight="true" outlineLevel="0" collapsed="false">
      <c r="A63" s="4" t="s">
        <v>22</v>
      </c>
      <c r="B63" s="4" t="str">
        <f aca="false">VLOOKUP(A63,WorkData,2,0)</f>
        <v>King George CDP</v>
      </c>
      <c r="C63" s="49" t="n">
        <f aca="false">IF(ISERROR(VLOOKUP(A63,WorkData,3,0)),0,VLOOKUP(A63,WorkData,3,0))</f>
        <v>66780.48</v>
      </c>
      <c r="D63" s="49" t="n">
        <f aca="false">IF(ISERROR(VLOOKUP($A63,WorkData,5,0)),0,VLOOKUP($A63,WorkData,5,0))</f>
        <v>60.6821671175185</v>
      </c>
      <c r="E63" s="49" t="n">
        <f aca="false">IF(ISERROR(VLOOKUP($A63,WorkData,6,0)),0,VLOOKUP($A63,WorkData,6,0))</f>
        <v>87.1977908454652</v>
      </c>
      <c r="F63" s="49" t="n">
        <f aca="false">(E63-32)/9*5</f>
        <v>30.6654393585918</v>
      </c>
      <c r="G63" s="124" t="n">
        <f aca="false">10^(R$4-(R$5/(R$6+F63)))*0.0193339296</f>
        <v>0.637504452116694</v>
      </c>
      <c r="H63" s="49" t="n">
        <f aca="false">D63+14.73</f>
        <v>75.4121671175185</v>
      </c>
      <c r="I63" s="125" t="n">
        <f aca="false">G63/H63</f>
        <v>0.00845360207091303</v>
      </c>
      <c r="J63" s="125" t="n">
        <f aca="false">1-I63</f>
        <v>0.991546397929087</v>
      </c>
      <c r="K63" s="49" t="n">
        <f aca="false">C63*J63</f>
        <v>66215.9443959754</v>
      </c>
      <c r="L63" s="126" t="n">
        <f aca="false">C63*(1-J63)</f>
        <v>564.535604024568</v>
      </c>
      <c r="M63" s="126" t="n">
        <f aca="false">C63*(1-0.9826)</f>
        <v>1161.980352</v>
      </c>
    </row>
    <row r="64" customFormat="false" ht="15.75" hidden="false" customHeight="true" outlineLevel="0" collapsed="false">
      <c r="A64" s="4" t="s">
        <v>23</v>
      </c>
      <c r="B64" s="4" t="str">
        <f aca="false">VLOOKUP(A64,WorkData,2,0)</f>
        <v>Rick Vaughn CDP</v>
      </c>
      <c r="C64" s="49" t="n">
        <f aca="false">IF(ISERROR(VLOOKUP(A64,WorkData,3,0)),0,VLOOKUP(A64,WorkData,3,0))</f>
        <v>399850.83</v>
      </c>
      <c r="D64" s="49" t="n">
        <f aca="false">IF(ISERROR(VLOOKUP($A64,WorkData,5,0)),0,VLOOKUP($A64,WorkData,5,0))</f>
        <v>97.7599473820053</v>
      </c>
      <c r="E64" s="49" t="n">
        <f aca="false">IF(ISERROR(VLOOKUP($A64,WorkData,6,0)),0,VLOOKUP($A64,WorkData,6,0))</f>
        <v>115.991547780407</v>
      </c>
      <c r="F64" s="49" t="n">
        <f aca="false">(E64-32)/9*5</f>
        <v>46.661970989115</v>
      </c>
      <c r="G64" s="124" t="n">
        <f aca="false">10^(R$4-(R$5/(R$6+F64)))*0.0193339296</f>
        <v>1.5092111248881</v>
      </c>
      <c r="H64" s="49" t="n">
        <f aca="false">D64+14.73</f>
        <v>112.489947382005</v>
      </c>
      <c r="I64" s="125" t="n">
        <f aca="false">G64/H64</f>
        <v>0.0134164088437428</v>
      </c>
      <c r="J64" s="125" t="n">
        <f aca="false">1-I64</f>
        <v>0.986583591156257</v>
      </c>
      <c r="K64" s="49" t="n">
        <f aca="false">C64*J64</f>
        <v>394486.26778821</v>
      </c>
      <c r="L64" s="126" t="n">
        <f aca="false">C64*(1-J64)</f>
        <v>5364.56221178992</v>
      </c>
      <c r="M64" s="126" t="n">
        <f aca="false">C64*(1-0.9826)</f>
        <v>6957.40444199999</v>
      </c>
    </row>
    <row r="65" customFormat="false" ht="15.75" hidden="false" customHeight="true" outlineLevel="0" collapsed="false">
      <c r="A65" s="4" t="s">
        <v>46</v>
      </c>
      <c r="B65" s="4" t="str">
        <f aca="false">VLOOKUP(A65,WorkData,2,0)</f>
        <v>Cypress 33 A Sales</v>
      </c>
      <c r="C65" s="49" t="n">
        <f aca="false">IF(ISERROR(VLOOKUP(A65,WorkData,3,0)),0,VLOOKUP(A65,WorkData,3,0))</f>
        <v>279240.52</v>
      </c>
      <c r="D65" s="49" t="n">
        <f aca="false">IF(ISERROR(VLOOKUP($A65,WorkData,5,0)),0,VLOOKUP($A65,WorkData,5,0))</f>
        <v>71.8741552947032</v>
      </c>
      <c r="E65" s="49" t="n">
        <f aca="false">IF(ISERROR(VLOOKUP($A65,WorkData,6,0)),0,VLOOKUP($A65,WorkData,6,0))</f>
        <v>87.6852171364913</v>
      </c>
      <c r="F65" s="49" t="n">
        <f aca="false">(E65-32)/9*5</f>
        <v>30.9362317424952</v>
      </c>
      <c r="G65" s="124" t="n">
        <f aca="false">10^(R$4-(R$5/(R$6+F65)))*0.0193339296</f>
        <v>0.647434388001886</v>
      </c>
      <c r="H65" s="49" t="n">
        <f aca="false">D65+14.73</f>
        <v>86.6041552947032</v>
      </c>
      <c r="I65" s="125" t="n">
        <f aca="false">G65/H65</f>
        <v>0.00747578895953372</v>
      </c>
      <c r="J65" s="125" t="n">
        <f aca="false">1-I65</f>
        <v>0.992524211040466</v>
      </c>
      <c r="K65" s="49" t="n">
        <f aca="false">C65*J65</f>
        <v>277152.97680353</v>
      </c>
      <c r="L65" s="126" t="n">
        <f aca="false">C65*(1-J65)</f>
        <v>2087.54319647045</v>
      </c>
      <c r="M65" s="126" t="n">
        <f aca="false">C65*(1-0.9826)</f>
        <v>4858.78504799999</v>
      </c>
    </row>
    <row r="72" customFormat="false" ht="15.75" hidden="false" customHeight="true" outlineLevel="0" collapsed="false">
      <c r="K72" s="126" t="n">
        <f aca="false">SUM(K2:K71)</f>
        <v>10365846.9654284</v>
      </c>
      <c r="L72" s="133" t="n">
        <f aca="false">SUM(L2:L71)</f>
        <v>49840.5845715681</v>
      </c>
      <c r="M72" s="126" t="n">
        <f aca="false">SUM(M2:M71)</f>
        <v>181232.96337</v>
      </c>
    </row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S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53125" defaultRowHeight="15" zeroHeight="false" outlineLevelRow="0" outlineLevelCol="0"/>
  <cols>
    <col collapsed="false" customWidth="true" hidden="false" outlineLevel="0" max="1" min="1" style="0" width="7.14"/>
    <col collapsed="false" customWidth="true" hidden="false" outlineLevel="0" max="2" min="2" style="0" width="39.57"/>
    <col collapsed="false" customWidth="true" hidden="false" outlineLevel="0" max="4" min="3" style="0" width="9.57"/>
    <col collapsed="false" customWidth="true" hidden="false" outlineLevel="0" max="5" min="5" style="0" width="6.57"/>
    <col collapsed="false" customWidth="true" hidden="false" outlineLevel="0" max="6" min="6" style="0" width="5.57"/>
    <col collapsed="false" customWidth="true" hidden="false" outlineLevel="0" max="7" min="7" style="0" width="6.57"/>
    <col collapsed="false" customWidth="true" hidden="false" outlineLevel="0" max="8" min="8" style="0" width="7.57"/>
    <col collapsed="false" customWidth="true" hidden="false" outlineLevel="0" max="9" min="9" style="0" width="8.57"/>
    <col collapsed="false" customWidth="true" hidden="false" outlineLevel="0" max="10" min="10" style="0" width="7.57"/>
    <col collapsed="false" customWidth="true" hidden="false" outlineLevel="0" max="16" min="11" style="0" width="6.57"/>
    <col collapsed="false" customWidth="true" hidden="false" outlineLevel="0" max="26" min="17" style="0" width="8.7"/>
  </cols>
  <sheetData>
    <row r="1" customFormat="false" ht="15" hidden="false" customHeight="false" outlineLevel="0" collapsed="false">
      <c r="A1" s="134" t="n">
        <v>1</v>
      </c>
      <c r="B1" s="134" t="n">
        <v>2</v>
      </c>
      <c r="C1" s="134" t="n">
        <v>3</v>
      </c>
      <c r="D1" s="134" t="n">
        <v>4</v>
      </c>
      <c r="E1" s="134" t="n">
        <v>5</v>
      </c>
      <c r="F1" s="134" t="n">
        <v>6</v>
      </c>
      <c r="G1" s="134" t="n">
        <v>7</v>
      </c>
      <c r="H1" s="134" t="n">
        <v>8</v>
      </c>
      <c r="I1" s="134" t="n">
        <v>9</v>
      </c>
      <c r="J1" s="134" t="n">
        <v>10</v>
      </c>
      <c r="K1" s="134" t="n">
        <v>11</v>
      </c>
      <c r="L1" s="134" t="n">
        <v>12</v>
      </c>
      <c r="M1" s="134" t="n">
        <v>13</v>
      </c>
      <c r="N1" s="134" t="n">
        <v>14</v>
      </c>
      <c r="O1" s="134" t="n">
        <v>15</v>
      </c>
      <c r="P1" s="134" t="n">
        <v>16</v>
      </c>
    </row>
    <row r="2" customFormat="false" ht="15" hidden="false" customHeight="false" outlineLevel="0" collapsed="false">
      <c r="A2" s="135" t="s">
        <v>37</v>
      </c>
      <c r="B2" s="136" t="str">
        <f aca="false">VLOOKUP($A2,FlowCal,B$1,0)</f>
        <v>Gateway 22-2H</v>
      </c>
      <c r="C2" s="137" t="n">
        <f aca="false">VLOOKUP($A2,FlowCal,C$1,0)</f>
        <v>0</v>
      </c>
      <c r="D2" s="137" t="n">
        <f aca="false">VLOOKUP($A2,FlowCal,D$1,0)</f>
        <v>0</v>
      </c>
      <c r="E2" s="137" t="n">
        <f aca="false">VLOOKUP($A2,FlowCal,E$1,0)</f>
        <v>22.3561763237881</v>
      </c>
      <c r="F2" s="137" t="n">
        <f aca="false">VLOOKUP($A2,FlowCal,F$1,0)</f>
        <v>78.942673965167</v>
      </c>
      <c r="G2" s="138" t="n">
        <f aca="false">VLOOKUP($A2,FlowCal,G$1,0)</f>
        <v>0.173</v>
      </c>
      <c r="H2" s="138" t="n">
        <f aca="false">VLOOKUP($A2,FlowCal,H$1,0)</f>
        <v>0.583</v>
      </c>
      <c r="I2" s="138" t="n">
        <f aca="false">VLOOKUP($A2,FlowCal,I$1,0)</f>
        <v>80.962</v>
      </c>
      <c r="J2" s="138" t="n">
        <f aca="false">VLOOKUP($A2,FlowCal,J$1,0)</f>
        <v>10.678</v>
      </c>
      <c r="K2" s="138" t="n">
        <f aca="false">VLOOKUP($A2,FlowCal,K$1,0)</f>
        <v>3.898</v>
      </c>
      <c r="L2" s="138" t="n">
        <f aca="false">VLOOKUP($A2,FlowCal,L$1,0)</f>
        <v>0.62</v>
      </c>
      <c r="M2" s="138" t="n">
        <f aca="false">VLOOKUP($A2,FlowCal,M$1,0)</f>
        <v>1.089</v>
      </c>
      <c r="N2" s="138" t="n">
        <f aca="false">VLOOKUP($A2,FlowCal,N$1,0)</f>
        <v>0.289</v>
      </c>
      <c r="O2" s="138" t="n">
        <f aca="false">VLOOKUP($A2,FlowCal,O$1,0)</f>
        <v>0.314</v>
      </c>
      <c r="P2" s="139" t="n">
        <f aca="false">VLOOKUP($A2,FlowCal,P$1,0)</f>
        <v>1.394</v>
      </c>
      <c r="Q2" s="4" t="n">
        <v>1.394</v>
      </c>
      <c r="S2" s="140" t="n">
        <f aca="false">P2-Q2</f>
        <v>0</v>
      </c>
    </row>
    <row r="3" customFormat="false" ht="15" hidden="false" customHeight="false" outlineLevel="0" collapsed="false">
      <c r="A3" s="141" t="s">
        <v>38</v>
      </c>
      <c r="B3" s="142" t="str">
        <f aca="false">VLOOKUP($A3,FlowCal,B$1,0)</f>
        <v>Gateway 38-2H</v>
      </c>
      <c r="C3" s="81" t="n">
        <f aca="false">VLOOKUP($A3,FlowCal,C$1,0)</f>
        <v>0</v>
      </c>
      <c r="D3" s="81" t="n">
        <f aca="false">VLOOKUP($A3,FlowCal,D$1,0)</f>
        <v>0</v>
      </c>
      <c r="E3" s="81" t="n">
        <f aca="false">VLOOKUP($A3,FlowCal,E$1,0)</f>
        <v>13.4219181999083</v>
      </c>
      <c r="F3" s="81" t="n">
        <f aca="false">VLOOKUP($A3,FlowCal,F$1,0)</f>
        <v>76.9571803154484</v>
      </c>
      <c r="G3" s="143" t="n">
        <f aca="false">VLOOKUP($A3,FlowCal,G$1,0)</f>
        <v>0.1581</v>
      </c>
      <c r="H3" s="143" t="n">
        <f aca="false">VLOOKUP($A3,FlowCal,H$1,0)</f>
        <v>2.7207</v>
      </c>
      <c r="I3" s="143" t="n">
        <f aca="false">VLOOKUP($A3,FlowCal,I$1,0)</f>
        <v>79.9315</v>
      </c>
      <c r="J3" s="143" t="n">
        <f aca="false">VLOOKUP($A3,FlowCal,J$1,0)</f>
        <v>10.7207</v>
      </c>
      <c r="K3" s="143" t="n">
        <f aca="false">VLOOKUP($A3,FlowCal,K$1,0)</f>
        <v>3.6801</v>
      </c>
      <c r="L3" s="143" t="n">
        <f aca="false">VLOOKUP($A3,FlowCal,L$1,0)</f>
        <v>0.5513</v>
      </c>
      <c r="M3" s="143" t="n">
        <f aca="false">VLOOKUP($A3,FlowCal,M$1,0)</f>
        <v>0.9395</v>
      </c>
      <c r="N3" s="143" t="n">
        <f aca="false">VLOOKUP($A3,FlowCal,N$1,0)</f>
        <v>0.2186</v>
      </c>
      <c r="O3" s="143" t="n">
        <f aca="false">VLOOKUP($A3,FlowCal,O$1,0)</f>
        <v>0.2183</v>
      </c>
      <c r="P3" s="144" t="n">
        <f aca="false">VLOOKUP($A3,FlowCal,P$1,0)</f>
        <v>0.4913</v>
      </c>
      <c r="Q3" s="4" t="n">
        <v>0.4913</v>
      </c>
      <c r="S3" s="140" t="n">
        <f aca="false">P3-Q3</f>
        <v>0</v>
      </c>
    </row>
    <row r="4" customFormat="false" ht="15" hidden="false" customHeight="false" outlineLevel="0" collapsed="false">
      <c r="A4" s="141" t="s">
        <v>39</v>
      </c>
      <c r="B4" s="142" t="str">
        <f aca="false">VLOOKUP($A4,FlowCal,B$1,0)</f>
        <v>Allman 24-68</v>
      </c>
      <c r="C4" s="81" t="n">
        <f aca="false">VLOOKUP($A4,FlowCal,C$1,0)</f>
        <v>46376.34</v>
      </c>
      <c r="D4" s="81" t="n">
        <f aca="false">VLOOKUP($A4,FlowCal,D$1,0)</f>
        <v>58016.8</v>
      </c>
      <c r="E4" s="81" t="n">
        <f aca="false">VLOOKUP($A4,FlowCal,E$1,0)</f>
        <v>90.3834337204179</v>
      </c>
      <c r="F4" s="81" t="n">
        <f aca="false">VLOOKUP($A4,FlowCal,F$1,0)</f>
        <v>77.1167436605302</v>
      </c>
      <c r="G4" s="143" t="n">
        <f aca="false">VLOOKUP($A4,FlowCal,G$1,0)</f>
        <v>0.094</v>
      </c>
      <c r="H4" s="143" t="n">
        <f aca="false">VLOOKUP($A4,FlowCal,H$1,0)</f>
        <v>0.589</v>
      </c>
      <c r="I4" s="143" t="n">
        <f aca="false">VLOOKUP($A4,FlowCal,I$1,0)</f>
        <v>80.804</v>
      </c>
      <c r="J4" s="143" t="n">
        <f aca="false">VLOOKUP($A4,FlowCal,J$1,0)</f>
        <v>10.688</v>
      </c>
      <c r="K4" s="143" t="n">
        <f aca="false">VLOOKUP($A4,FlowCal,K$1,0)</f>
        <v>4.16</v>
      </c>
      <c r="L4" s="143" t="n">
        <f aca="false">VLOOKUP($A4,FlowCal,L$1,0)</f>
        <v>0.697</v>
      </c>
      <c r="M4" s="143" t="n">
        <f aca="false">VLOOKUP($A4,FlowCal,M$1,0)</f>
        <v>1.341</v>
      </c>
      <c r="N4" s="143" t="n">
        <f aca="false">VLOOKUP($A4,FlowCal,N$1,0)</f>
        <v>0.376</v>
      </c>
      <c r="O4" s="143" t="n">
        <f aca="false">VLOOKUP($A4,FlowCal,O$1,0)</f>
        <v>0.415</v>
      </c>
      <c r="P4" s="144" t="n">
        <f aca="false">VLOOKUP($A4,FlowCal,P$1,0)</f>
        <v>0.836</v>
      </c>
      <c r="Q4" s="4" t="n">
        <v>0.836</v>
      </c>
      <c r="S4" s="140" t="n">
        <f aca="false">P4-Q4</f>
        <v>0</v>
      </c>
    </row>
    <row r="5" customFormat="false" ht="15" hidden="false" customHeight="false" outlineLevel="0" collapsed="false">
      <c r="A5" s="141" t="s">
        <v>40</v>
      </c>
      <c r="B5" s="142" t="str">
        <f aca="false">VLOOKUP($A5,FlowCal,B$1,0)</f>
        <v>Johnny Cash 23-2H</v>
      </c>
      <c r="C5" s="81" t="n">
        <f aca="false">VLOOKUP($A5,FlowCal,C$1,0)</f>
        <v>0</v>
      </c>
      <c r="D5" s="81" t="n">
        <f aca="false">VLOOKUP($A5,FlowCal,D$1,0)</f>
        <v>0</v>
      </c>
      <c r="E5" s="81" t="n">
        <f aca="false">VLOOKUP($A5,FlowCal,E$1,0)</f>
        <v>13.3571218649546</v>
      </c>
      <c r="F5" s="81" t="n">
        <f aca="false">VLOOKUP($A5,FlowCal,F$1,0)</f>
        <v>78.8065221078934</v>
      </c>
      <c r="G5" s="143" t="n">
        <f aca="false">VLOOKUP($A5,FlowCal,G$1,0)</f>
        <v>0.075</v>
      </c>
      <c r="H5" s="143" t="n">
        <f aca="false">VLOOKUP($A5,FlowCal,H$1,0)</f>
        <v>0.598</v>
      </c>
      <c r="I5" s="143" t="n">
        <f aca="false">VLOOKUP($A5,FlowCal,I$1,0)</f>
        <v>82.24</v>
      </c>
      <c r="J5" s="143" t="n">
        <f aca="false">VLOOKUP($A5,FlowCal,J$1,0)</f>
        <v>10.975</v>
      </c>
      <c r="K5" s="143" t="n">
        <f aca="false">VLOOKUP($A5,FlowCal,K$1,0)</f>
        <v>4.042</v>
      </c>
      <c r="L5" s="143" t="n">
        <f aca="false">VLOOKUP($A5,FlowCal,L$1,0)</f>
        <v>0.592</v>
      </c>
      <c r="M5" s="143" t="n">
        <f aca="false">VLOOKUP($A5,FlowCal,M$1,0)</f>
        <v>1</v>
      </c>
      <c r="N5" s="143" t="n">
        <f aca="false">VLOOKUP($A5,FlowCal,N$1,0)</f>
        <v>0.176</v>
      </c>
      <c r="O5" s="143" t="n">
        <f aca="false">VLOOKUP($A5,FlowCal,O$1,0)</f>
        <v>0.17</v>
      </c>
      <c r="P5" s="144" t="n">
        <f aca="false">VLOOKUP($A5,FlowCal,P$1,0)</f>
        <v>0.132</v>
      </c>
      <c r="Q5" s="4" t="n">
        <v>0.132</v>
      </c>
      <c r="S5" s="140" t="n">
        <f aca="false">P5-Q5</f>
        <v>0</v>
      </c>
    </row>
    <row r="6" customFormat="false" ht="15" hidden="false" customHeight="false" outlineLevel="0" collapsed="false">
      <c r="A6" s="141" t="s">
        <v>41</v>
      </c>
      <c r="B6" s="142" t="str">
        <f aca="false">VLOOKUP($A6,FlowCal,B$1,0)</f>
        <v>Muddy Waters 30-2H</v>
      </c>
      <c r="C6" s="81" t="n">
        <f aca="false">VLOOKUP($A6,FlowCal,C$1,0)</f>
        <v>16278.35</v>
      </c>
      <c r="D6" s="81" t="n">
        <f aca="false">VLOOKUP($A6,FlowCal,D$1,0)</f>
        <v>20543.28</v>
      </c>
      <c r="E6" s="81" t="n">
        <f aca="false">VLOOKUP($A6,FlowCal,E$1,0)</f>
        <v>94.6172602500156</v>
      </c>
      <c r="F6" s="81" t="n">
        <f aca="false">VLOOKUP($A6,FlowCal,F$1,0)</f>
        <v>81.4497945849687</v>
      </c>
      <c r="G6" s="143" t="n">
        <f aca="false">VLOOKUP($A6,FlowCal,G$1,0)</f>
        <v>0.116</v>
      </c>
      <c r="H6" s="143" t="n">
        <f aca="false">VLOOKUP($A6,FlowCal,H$1,0)</f>
        <v>0.607</v>
      </c>
      <c r="I6" s="143" t="n">
        <f aca="false">VLOOKUP($A6,FlowCal,I$1,0)</f>
        <v>80.086</v>
      </c>
      <c r="J6" s="143" t="n">
        <f aca="false">VLOOKUP($A6,FlowCal,J$1,0)</f>
        <v>10.925</v>
      </c>
      <c r="K6" s="143" t="n">
        <f aca="false">VLOOKUP($A6,FlowCal,K$1,0)</f>
        <v>4.435</v>
      </c>
      <c r="L6" s="143" t="n">
        <f aca="false">VLOOKUP($A6,FlowCal,L$1,0)</f>
        <v>0.702</v>
      </c>
      <c r="M6" s="143" t="n">
        <f aca="false">VLOOKUP($A6,FlowCal,M$1,0)</f>
        <v>1.436</v>
      </c>
      <c r="N6" s="143" t="n">
        <f aca="false">VLOOKUP($A6,FlowCal,N$1,0)</f>
        <v>0.363</v>
      </c>
      <c r="O6" s="143" t="n">
        <f aca="false">VLOOKUP($A6,FlowCal,O$1,0)</f>
        <v>0.448</v>
      </c>
      <c r="P6" s="144" t="n">
        <f aca="false">VLOOKUP($A6,FlowCal,P$1,0)</f>
        <v>0.882</v>
      </c>
      <c r="Q6" s="4" t="n">
        <v>0.882</v>
      </c>
      <c r="S6" s="140" t="n">
        <f aca="false">P6-Q6</f>
        <v>0</v>
      </c>
    </row>
    <row r="7" customFormat="false" ht="15" hidden="false" customHeight="false" outlineLevel="0" collapsed="false">
      <c r="A7" s="141" t="s">
        <v>42</v>
      </c>
      <c r="B7" s="142" t="str">
        <f aca="false">VLOOKUP($A7,FlowCal,B$1,0)</f>
        <v>BB King 32-2H</v>
      </c>
      <c r="C7" s="81" t="n">
        <f aca="false">VLOOKUP($A7,FlowCal,C$1,0)</f>
        <v>12576.36</v>
      </c>
      <c r="D7" s="81" t="n">
        <f aca="false">VLOOKUP($A7,FlowCal,D$1,0)</f>
        <v>15619.84</v>
      </c>
      <c r="E7" s="81" t="n">
        <f aca="false">VLOOKUP($A7,FlowCal,E$1,0)</f>
        <v>93.7953254304999</v>
      </c>
      <c r="F7" s="81" t="n">
        <f aca="false">VLOOKUP($A7,FlowCal,F$1,0)</f>
        <v>80.6438741754455</v>
      </c>
      <c r="G7" s="143" t="n">
        <f aca="false">VLOOKUP($A7,FlowCal,G$1,0)</f>
        <v>0.106</v>
      </c>
      <c r="H7" s="143" t="n">
        <f aca="false">VLOOKUP($A7,FlowCal,H$1,0)</f>
        <v>0.649</v>
      </c>
      <c r="I7" s="143" t="n">
        <f aca="false">VLOOKUP($A7,FlowCal,I$1,0)</f>
        <v>80.641</v>
      </c>
      <c r="J7" s="143" t="n">
        <f aca="false">VLOOKUP($A7,FlowCal,J$1,0)</f>
        <v>10.992</v>
      </c>
      <c r="K7" s="143" t="n">
        <f aca="false">VLOOKUP($A7,FlowCal,K$1,0)</f>
        <v>4.336</v>
      </c>
      <c r="L7" s="143" t="n">
        <f aca="false">VLOOKUP($A7,FlowCal,L$1,0)</f>
        <v>0.668</v>
      </c>
      <c r="M7" s="143" t="n">
        <f aca="false">VLOOKUP($A7,FlowCal,M$1,0)</f>
        <v>1.343</v>
      </c>
      <c r="N7" s="143" t="n">
        <f aca="false">VLOOKUP($A7,FlowCal,N$1,0)</f>
        <v>0.308</v>
      </c>
      <c r="O7" s="143" t="n">
        <f aca="false">VLOOKUP($A7,FlowCal,O$1,0)</f>
        <v>0.352</v>
      </c>
      <c r="P7" s="144" t="n">
        <f aca="false">VLOOKUP($A7,FlowCal,P$1,0)</f>
        <v>0.605</v>
      </c>
      <c r="Q7" s="4" t="n">
        <v>0.605</v>
      </c>
      <c r="S7" s="140" t="n">
        <f aca="false">P7-Q7</f>
        <v>0</v>
      </c>
    </row>
    <row r="8" customFormat="false" ht="15" hidden="false" customHeight="false" outlineLevel="0" collapsed="false">
      <c r="A8" s="141" t="s">
        <v>43</v>
      </c>
      <c r="B8" s="142" t="str">
        <f aca="false">VLOOKUP($A8,FlowCal,B$1,0)</f>
        <v>Santana 29-2H</v>
      </c>
      <c r="C8" s="81" t="n">
        <f aca="false">VLOOKUP($A8,FlowCal,C$1,0)</f>
        <v>24861.69</v>
      </c>
      <c r="D8" s="81" t="n">
        <f aca="false">VLOOKUP($A8,FlowCal,D$1,0)</f>
        <v>32195.89</v>
      </c>
      <c r="E8" s="81" t="n">
        <f aca="false">VLOOKUP($A8,FlowCal,E$1,0)</f>
        <v>92.7763482205855</v>
      </c>
      <c r="F8" s="145" t="n">
        <f aca="false">VLOOKUP($A8,FlowCal,F$1,0)</f>
        <v>75.0075733104629</v>
      </c>
      <c r="G8" s="146" t="n">
        <v>0.103</v>
      </c>
      <c r="H8" s="146" t="n">
        <v>0.585</v>
      </c>
      <c r="I8" s="146" t="n">
        <v>79.578</v>
      </c>
      <c r="J8" s="146" t="n">
        <v>11.038</v>
      </c>
      <c r="K8" s="146" t="n">
        <v>4.435</v>
      </c>
      <c r="L8" s="146" t="n">
        <v>0.776</v>
      </c>
      <c r="M8" s="146" t="n">
        <v>1.517</v>
      </c>
      <c r="N8" s="146" t="n">
        <v>0.431</v>
      </c>
      <c r="O8" s="146" t="n">
        <v>0.493</v>
      </c>
      <c r="P8" s="147" t="n">
        <v>1.044</v>
      </c>
      <c r="Q8" s="4" t="n">
        <v>1.167</v>
      </c>
      <c r="S8" s="140" t="n">
        <f aca="false">P8-Q8</f>
        <v>-0.123</v>
      </c>
    </row>
    <row r="9" customFormat="false" ht="15" hidden="false" customHeight="false" outlineLevel="0" collapsed="false">
      <c r="A9" s="141" t="s">
        <v>44</v>
      </c>
      <c r="B9" s="142" t="str">
        <f aca="false">VLOOKUP($A9,FlowCal,B$1,0)</f>
        <v>Orbison 28-6H</v>
      </c>
      <c r="C9" s="81" t="n">
        <f aca="false">VLOOKUP($A9,FlowCal,C$1,0)</f>
        <v>8689.66</v>
      </c>
      <c r="D9" s="81" t="n">
        <f aca="false">VLOOKUP($A9,FlowCal,D$1,0)</f>
        <v>10670.91</v>
      </c>
      <c r="E9" s="81" t="n">
        <f aca="false">VLOOKUP($A9,FlowCal,E$1,0)</f>
        <v>90.7908598746099</v>
      </c>
      <c r="F9" s="81" t="n">
        <f aca="false">VLOOKUP($A9,FlowCal,F$1,0)</f>
        <v>75.4517805073168</v>
      </c>
      <c r="G9" s="143" t="n">
        <f aca="false">VLOOKUP($A9,FlowCal,G$1,0)</f>
        <v>0.063</v>
      </c>
      <c r="H9" s="143" t="n">
        <f aca="false">VLOOKUP($A9,FlowCal,H$1,0)</f>
        <v>1.904</v>
      </c>
      <c r="I9" s="143" t="n">
        <f aca="false">VLOOKUP($A9,FlowCal,I$1,0)</f>
        <v>79.513</v>
      </c>
      <c r="J9" s="143" t="n">
        <f aca="false">VLOOKUP($A9,FlowCal,J$1,0)</f>
        <v>10.982</v>
      </c>
      <c r="K9" s="143" t="n">
        <f aca="false">VLOOKUP($A9,FlowCal,K$1,0)</f>
        <v>4.229</v>
      </c>
      <c r="L9" s="143" t="n">
        <f aca="false">VLOOKUP($A9,FlowCal,L$1,0)</f>
        <v>0.698</v>
      </c>
      <c r="M9" s="143" t="n">
        <f aca="false">VLOOKUP($A9,FlowCal,M$1,0)</f>
        <v>1.331</v>
      </c>
      <c r="N9" s="143" t="n">
        <f aca="false">VLOOKUP($A9,FlowCal,N$1,0)</f>
        <v>0.336</v>
      </c>
      <c r="O9" s="143" t="n">
        <f aca="false">VLOOKUP($A9,FlowCal,O$1,0)</f>
        <v>0.371</v>
      </c>
      <c r="P9" s="144" t="n">
        <f aca="false">VLOOKUP($A9,FlowCal,P$1,0)</f>
        <v>0.573</v>
      </c>
      <c r="Q9" s="4" t="n">
        <v>0.573</v>
      </c>
      <c r="S9" s="140" t="n">
        <f aca="false">P9-Q9</f>
        <v>0</v>
      </c>
    </row>
    <row r="10" customFormat="false" ht="15" hidden="false" customHeight="false" outlineLevel="0" collapsed="false">
      <c r="A10" s="141" t="s">
        <v>45</v>
      </c>
      <c r="B10" s="142" t="str">
        <f aca="false">VLOOKUP($A10,FlowCal,B$1,0)</f>
        <v>Johnny Cash 2</v>
      </c>
      <c r="C10" s="81" t="n">
        <f aca="false">VLOOKUP($A10,FlowCal,C$1,0)</f>
        <v>411540.2</v>
      </c>
      <c r="D10" s="81" t="n">
        <f aca="false">VLOOKUP($A10,FlowCal,D$1,0)</f>
        <v>513190.63</v>
      </c>
      <c r="E10" s="81" t="n">
        <f aca="false">VLOOKUP($A10,FlowCal,E$1,0)</f>
        <v>91.9550793211202</v>
      </c>
      <c r="F10" s="81" t="n">
        <f aca="false">VLOOKUP($A10,FlowCal,F$1,0)</f>
        <v>79.9335406297994</v>
      </c>
      <c r="G10" s="143" t="n">
        <f aca="false">VLOOKUP($A10,FlowCal,G$1,0)</f>
        <v>0.125</v>
      </c>
      <c r="H10" s="143" t="n">
        <f aca="false">VLOOKUP($A10,FlowCal,H$1,0)</f>
        <v>0.582</v>
      </c>
      <c r="I10" s="143" t="n">
        <f aca="false">VLOOKUP($A10,FlowCal,I$1,0)</f>
        <v>81.076</v>
      </c>
      <c r="J10" s="143" t="n">
        <f aca="false">VLOOKUP($A10,FlowCal,J$1,0)</f>
        <v>10.555</v>
      </c>
      <c r="K10" s="143" t="n">
        <f aca="false">VLOOKUP($A10,FlowCal,K$1,0)</f>
        <v>4.037</v>
      </c>
      <c r="L10" s="143" t="n">
        <f aca="false">VLOOKUP($A10,FlowCal,L$1,0)</f>
        <v>0.705</v>
      </c>
      <c r="M10" s="143" t="n">
        <f aca="false">VLOOKUP($A10,FlowCal,M$1,0)</f>
        <v>1.318</v>
      </c>
      <c r="N10" s="143" t="n">
        <f aca="false">VLOOKUP($A10,FlowCal,N$1,0)</f>
        <v>0.372</v>
      </c>
      <c r="O10" s="143" t="n">
        <f aca="false">VLOOKUP($A10,FlowCal,O$1,0)</f>
        <v>0.396</v>
      </c>
      <c r="P10" s="144" t="n">
        <f aca="false">VLOOKUP($A10,FlowCal,P$1,0)</f>
        <v>0.834</v>
      </c>
      <c r="Q10" s="4" t="n">
        <v>0.635</v>
      </c>
      <c r="S10" s="140" t="n">
        <f aca="false">P10-Q10</f>
        <v>0.199</v>
      </c>
    </row>
    <row r="11" customFormat="false" ht="15" hidden="false" customHeight="false" outlineLevel="0" collapsed="false">
      <c r="A11" s="141" t="s">
        <v>46</v>
      </c>
      <c r="B11" s="142" t="str">
        <f aca="false">VLOOKUP($A11,FlowCal,B$1,0)</f>
        <v>Cypress 33 A Sales</v>
      </c>
      <c r="C11" s="81" t="n">
        <f aca="false">VLOOKUP($A11,FlowCal,C$1,0)</f>
        <v>279240.52</v>
      </c>
      <c r="D11" s="81" t="n">
        <f aca="false">VLOOKUP($A11,FlowCal,D$1,0)</f>
        <v>366642.81</v>
      </c>
      <c r="E11" s="81" t="n">
        <f aca="false">VLOOKUP($A11,FlowCal,E$1,0)</f>
        <v>71.8741552947032</v>
      </c>
      <c r="F11" s="81" t="n">
        <f aca="false">VLOOKUP($A11,FlowCal,F$1,0)</f>
        <v>87.6852171364913</v>
      </c>
      <c r="G11" s="146" t="n">
        <v>0.106</v>
      </c>
      <c r="H11" s="146" t="n">
        <v>0.929</v>
      </c>
      <c r="I11" s="146" t="n">
        <v>77.622</v>
      </c>
      <c r="J11" s="146" t="n">
        <v>11.39</v>
      </c>
      <c r="K11" s="146" t="n">
        <v>5.353</v>
      </c>
      <c r="L11" s="146" t="n">
        <v>0.802</v>
      </c>
      <c r="M11" s="146" t="n">
        <v>1.866</v>
      </c>
      <c r="N11" s="146" t="n">
        <v>0.455</v>
      </c>
      <c r="O11" s="146" t="n">
        <v>0.504</v>
      </c>
      <c r="P11" s="147" t="n">
        <v>0.973</v>
      </c>
      <c r="Q11" s="4" t="n">
        <v>0.973</v>
      </c>
      <c r="S11" s="140" t="n">
        <f aca="false">P11-Q11</f>
        <v>0</v>
      </c>
    </row>
    <row r="12" customFormat="false" ht="15" hidden="false" customHeight="false" outlineLevel="0" collapsed="false">
      <c r="A12" s="141" t="s">
        <v>47</v>
      </c>
      <c r="B12" s="142" t="str">
        <f aca="false">VLOOKUP($A12,FlowCal,B$1,0)</f>
        <v>Pinon CDP #1</v>
      </c>
      <c r="C12" s="81" t="n">
        <f aca="false">VLOOKUP($A12,FlowCal,C$1,0)</f>
        <v>1151339.8</v>
      </c>
      <c r="D12" s="81" t="n">
        <f aca="false">VLOOKUP($A12,FlowCal,D$1,0)</f>
        <v>1449805.67</v>
      </c>
      <c r="E12" s="81" t="n">
        <f aca="false">VLOOKUP($A12,FlowCal,E$1,0)</f>
        <v>1152.686725567</v>
      </c>
      <c r="F12" s="81" t="n">
        <f aca="false">VLOOKUP($A12,FlowCal,F$1,0)</f>
        <v>103.958267604457</v>
      </c>
      <c r="G12" s="143" t="n">
        <f aca="false">VLOOKUP($A12,FlowCal,G$1,0)</f>
        <v>0.815046438899443</v>
      </c>
      <c r="H12" s="143" t="n">
        <f aca="false">VLOOKUP($A12,FlowCal,H$1,0)</f>
        <v>1.09182948492832</v>
      </c>
      <c r="I12" s="143" t="n">
        <f aca="false">VLOOKUP($A12,FlowCal,I$1,0)</f>
        <v>79.1761940127324</v>
      </c>
      <c r="J12" s="143" t="n">
        <f aca="false">VLOOKUP($A12,FlowCal,J$1,0)</f>
        <v>9.43309602648388</v>
      </c>
      <c r="K12" s="143" t="n">
        <f aca="false">VLOOKUP($A12,FlowCal,K$1,0)</f>
        <v>5.05057468460211</v>
      </c>
      <c r="L12" s="143" t="n">
        <f aca="false">VLOOKUP($A12,FlowCal,L$1,0)</f>
        <v>0.949274743767535</v>
      </c>
      <c r="M12" s="143" t="n">
        <f aca="false">VLOOKUP($A12,FlowCal,M$1,0)</f>
        <v>1.7945837994806</v>
      </c>
      <c r="N12" s="143" t="n">
        <f aca="false">VLOOKUP($A12,FlowCal,N$1,0)</f>
        <v>0.597222247268506</v>
      </c>
      <c r="O12" s="143" t="n">
        <f aca="false">VLOOKUP($A12,FlowCal,O$1,0)</f>
        <v>0.454581941798881</v>
      </c>
      <c r="P12" s="144" t="n">
        <f aca="false">VLOOKUP($A12,FlowCal,P$1,0)</f>
        <v>0.63760771744079</v>
      </c>
      <c r="Q12" s="4" t="n">
        <v>0.659695161394649</v>
      </c>
      <c r="S12" s="140" t="n">
        <f aca="false">P12-Q12</f>
        <v>-0.022087443953859</v>
      </c>
    </row>
    <row r="13" customFormat="false" ht="15" hidden="false" customHeight="false" outlineLevel="0" collapsed="false">
      <c r="A13" s="141" t="s">
        <v>48</v>
      </c>
      <c r="B13" s="142" t="str">
        <f aca="false">VLOOKUP($A13,FlowCal,B$1,0)</f>
        <v>Pinon CDP #2</v>
      </c>
      <c r="C13" s="81" t="n">
        <f aca="false">VLOOKUP($A13,FlowCal,C$1,0)</f>
        <v>131184.94</v>
      </c>
      <c r="D13" s="81" t="n">
        <f aca="false">VLOOKUP($A13,FlowCal,D$1,0)</f>
        <v>165191.8</v>
      </c>
      <c r="E13" s="81" t="n">
        <f aca="false">VLOOKUP($A13,FlowCal,E$1,0)</f>
        <v>1152.59191602113</v>
      </c>
      <c r="F13" s="145" t="n">
        <f aca="false">VLOOKUP($A13,FlowCal,F$1,0)</f>
        <v>103.970331203093</v>
      </c>
      <c r="G13" s="143" t="n">
        <f aca="false">VLOOKUP($A13,FlowCal,G$1,0)</f>
        <v>0.815284680039878</v>
      </c>
      <c r="H13" s="143" t="n">
        <f aca="false">VLOOKUP($A13,FlowCal,H$1,0)</f>
        <v>1.0917341115764</v>
      </c>
      <c r="I13" s="143" t="n">
        <f aca="false">VLOOKUP($A13,FlowCal,I$1,0)</f>
        <v>79.1767516200042</v>
      </c>
      <c r="J13" s="143" t="n">
        <f aca="false">VLOOKUP($A13,FlowCal,J$1,0)</f>
        <v>9.43254437363945</v>
      </c>
      <c r="K13" s="143" t="n">
        <f aca="false">VLOOKUP($A13,FlowCal,K$1,0)</f>
        <v>5.05028694260133</v>
      </c>
      <c r="L13" s="143" t="n">
        <f aca="false">VLOOKUP($A13,FlowCal,L$1,0)</f>
        <v>0.949303908427994</v>
      </c>
      <c r="M13" s="143" t="n">
        <f aca="false">VLOOKUP($A13,FlowCal,M$1,0)</f>
        <v>1.79456191047132</v>
      </c>
      <c r="N13" s="143" t="n">
        <f aca="false">VLOOKUP($A13,FlowCal,N$1,0)</f>
        <v>0.597265415316484</v>
      </c>
      <c r="O13" s="143" t="n">
        <f aca="false">VLOOKUP($A13,FlowCal,O$1,0)</f>
        <v>0.454600379547278</v>
      </c>
      <c r="P13" s="144" t="n">
        <f aca="false">VLOOKUP($A13,FlowCal,P$1,0)</f>
        <v>0.637677767565951</v>
      </c>
      <c r="Q13" s="4" t="n">
        <v>0.660640268801387</v>
      </c>
      <c r="S13" s="140" t="n">
        <f aca="false">P13-Q13</f>
        <v>-0.022962501235436</v>
      </c>
    </row>
    <row r="14" customFormat="false" ht="15" hidden="false" customHeight="false" outlineLevel="0" collapsed="false">
      <c r="A14" s="141" t="s">
        <v>49</v>
      </c>
      <c r="B14" s="142" t="str">
        <f aca="false">VLOOKUP($A14,FlowCal,B$1,0)</f>
        <v>Cosmo CDP MTR #1</v>
      </c>
      <c r="C14" s="81" t="n">
        <f aca="false">VLOOKUP($A14,FlowCal,C$1,0)</f>
        <v>346861.43</v>
      </c>
      <c r="D14" s="81" t="n">
        <f aca="false">VLOOKUP($A14,FlowCal,D$1,0)</f>
        <v>433604.99</v>
      </c>
      <c r="E14" s="81" t="n">
        <f aca="false">VLOOKUP($A14,FlowCal,E$1,0)</f>
        <v>977.042301992486</v>
      </c>
      <c r="F14" s="81" t="n">
        <f aca="false">VLOOKUP($A14,FlowCal,F$1,0)</f>
        <v>95.8978307126668</v>
      </c>
      <c r="G14" s="143" t="n">
        <f aca="false">VLOOKUP($A14,FlowCal,G$1,0)</f>
        <v>0.0159192614542988</v>
      </c>
      <c r="H14" s="143" t="n">
        <f aca="false">VLOOKUP($A14,FlowCal,H$1,0)</f>
        <v>0.605452788952156</v>
      </c>
      <c r="I14" s="143" t="n">
        <f aca="false">VLOOKUP($A14,FlowCal,I$1,0)</f>
        <v>80.7794008690854</v>
      </c>
      <c r="J14" s="143" t="n">
        <f aca="false">VLOOKUP($A14,FlowCal,J$1,0)</f>
        <v>10.5911154496617</v>
      </c>
      <c r="K14" s="143" t="n">
        <f aca="false">VLOOKUP($A14,FlowCal,K$1,0)</f>
        <v>4.41724218760527</v>
      </c>
      <c r="L14" s="143" t="n">
        <f aca="false">VLOOKUP($A14,FlowCal,L$1,0)</f>
        <v>0.69687775287813</v>
      </c>
      <c r="M14" s="143" t="n">
        <f aca="false">VLOOKUP($A14,FlowCal,M$1,0)</f>
        <v>1.47066420865023</v>
      </c>
      <c r="N14" s="143" t="n">
        <f aca="false">VLOOKUP($A14,FlowCal,N$1,0)</f>
        <v>0.371587871304939</v>
      </c>
      <c r="O14" s="143" t="n">
        <f aca="false">VLOOKUP($A14,FlowCal,O$1,0)</f>
        <v>0.43461843104407</v>
      </c>
      <c r="P14" s="144" t="n">
        <f aca="false">VLOOKUP($A14,FlowCal,P$1,0)</f>
        <v>0.617121665503266</v>
      </c>
      <c r="Q14" s="4" t="n">
        <v>0.56618832221474</v>
      </c>
      <c r="S14" s="140" t="n">
        <f aca="false">P14-Q14</f>
        <v>0.0509333432885261</v>
      </c>
    </row>
    <row r="15" customFormat="false" ht="15" hidden="false" customHeight="false" outlineLevel="0" collapsed="false">
      <c r="A15" s="141" t="s">
        <v>50</v>
      </c>
      <c r="B15" s="142" t="str">
        <f aca="false">VLOOKUP($A15,FlowCal,B$1,0)</f>
        <v>Cosmo CDP MTR #2</v>
      </c>
      <c r="C15" s="81" t="n">
        <f aca="false">VLOOKUP($A15,FlowCal,C$1,0)</f>
        <v>0</v>
      </c>
      <c r="D15" s="81" t="n">
        <f aca="false">VLOOKUP($A15,FlowCal,D$1,0)</f>
        <v>0</v>
      </c>
      <c r="E15" s="81" t="n">
        <f aca="false">VLOOKUP($A15,FlowCal,E$1,0)</f>
        <v>13.9586288300894</v>
      </c>
      <c r="F15" s="81" t="n">
        <f aca="false">VLOOKUP($A15,FlowCal,F$1,0)</f>
        <v>77.4445861539533</v>
      </c>
      <c r="G15" s="143" t="n">
        <f aca="false">VLOOKUP($A15,FlowCal,G$1,0)</f>
        <v>0.0158747460440262</v>
      </c>
      <c r="H15" s="143" t="n">
        <f aca="false">VLOOKUP($A15,FlowCal,H$1,0)</f>
        <v>0.605738110039183</v>
      </c>
      <c r="I15" s="143" t="n">
        <f aca="false">VLOOKUP($A15,FlowCal,I$1,0)</f>
        <v>80.7971468176893</v>
      </c>
      <c r="J15" s="143" t="n">
        <f aca="false">VLOOKUP($A15,FlowCal,J$1,0)</f>
        <v>10.5877152912078</v>
      </c>
      <c r="K15" s="143" t="n">
        <f aca="false">VLOOKUP($A15,FlowCal,K$1,0)</f>
        <v>4.41222034282582</v>
      </c>
      <c r="L15" s="143" t="n">
        <f aca="false">VLOOKUP($A15,FlowCal,L$1,0)</f>
        <v>0.695783665263525</v>
      </c>
      <c r="M15" s="143" t="n">
        <f aca="false">VLOOKUP($A15,FlowCal,M$1,0)</f>
        <v>1.46754235926495</v>
      </c>
      <c r="N15" s="143" t="n">
        <f aca="false">VLOOKUP($A15,FlowCal,N$1,0)</f>
        <v>0.370649128271047</v>
      </c>
      <c r="O15" s="143" t="n">
        <f aca="false">VLOOKUP($A15,FlowCal,O$1,0)</f>
        <v>0.433409774535766</v>
      </c>
      <c r="P15" s="144" t="n">
        <f aca="false">VLOOKUP($A15,FlowCal,P$1,0)</f>
        <v>0.613919309019962</v>
      </c>
      <c r="Q15" s="4" t="n">
        <v>0.559840789918478</v>
      </c>
      <c r="S15" s="140" t="n">
        <f aca="false">P15-Q15</f>
        <v>0.054078519101484</v>
      </c>
    </row>
    <row r="16" customFormat="false" ht="15" hidden="false" customHeight="false" outlineLevel="0" collapsed="false">
      <c r="A16" s="141" t="s">
        <v>51</v>
      </c>
      <c r="B16" s="142" t="str">
        <f aca="false">VLOOKUP($A16,FlowCal,B$1,0)</f>
        <v>Four Points CDP MTR #1</v>
      </c>
      <c r="C16" s="81" t="n">
        <f aca="false">VLOOKUP($A16,FlowCal,C$1,0)</f>
        <v>294377.62</v>
      </c>
      <c r="D16" s="81" t="n">
        <f aca="false">VLOOKUP($A16,FlowCal,D$1,0)</f>
        <v>369069.05</v>
      </c>
      <c r="E16" s="81" t="n">
        <f aca="false">VLOOKUP($A16,FlowCal,E$1,0)</f>
        <v>978.056360050745</v>
      </c>
      <c r="F16" s="81" t="n">
        <f aca="false">VLOOKUP($A16,FlowCal,F$1,0)</f>
        <v>98.7163792291282</v>
      </c>
      <c r="G16" s="143" t="n">
        <f aca="false">VLOOKUP($A16,FlowCal,G$1,0)</f>
        <v>0.00978614999412378</v>
      </c>
      <c r="H16" s="143" t="n">
        <f aca="false">VLOOKUP($A16,FlowCal,H$1,0)</f>
        <v>0.589076111622202</v>
      </c>
      <c r="I16" s="143" t="n">
        <f aca="false">VLOOKUP($A16,FlowCal,I$1,0)</f>
        <v>80.6150901073344</v>
      </c>
      <c r="J16" s="143" t="n">
        <f aca="false">VLOOKUP($A16,FlowCal,J$1,0)</f>
        <v>10.6346550546324</v>
      </c>
      <c r="K16" s="143" t="n">
        <f aca="false">VLOOKUP($A16,FlowCal,K$1,0)</f>
        <v>4.4701231263416</v>
      </c>
      <c r="L16" s="143" t="n">
        <f aca="false">VLOOKUP($A16,FlowCal,L$1,0)</f>
        <v>0.715498525388372</v>
      </c>
      <c r="M16" s="143" t="n">
        <f aca="false">VLOOKUP($A16,FlowCal,M$1,0)</f>
        <v>1.5140556198984</v>
      </c>
      <c r="N16" s="143" t="n">
        <f aca="false">VLOOKUP($A16,FlowCal,N$1,0)</f>
        <v>0.383944926826199</v>
      </c>
      <c r="O16" s="143" t="n">
        <f aca="false">VLOOKUP($A16,FlowCal,O$1,0)</f>
        <v>0.451328174136267</v>
      </c>
      <c r="P16" s="144" t="n">
        <f aca="false">VLOOKUP($A16,FlowCal,P$1,0)</f>
        <v>0.616442599128654</v>
      </c>
      <c r="Q16" s="4" t="n">
        <v>0.538644918110185</v>
      </c>
      <c r="S16" s="140" t="n">
        <f aca="false">P16-Q16</f>
        <v>0.077797681018469</v>
      </c>
    </row>
    <row r="17" customFormat="false" ht="15" hidden="false" customHeight="false" outlineLevel="0" collapsed="false">
      <c r="A17" s="141" t="s">
        <v>52</v>
      </c>
      <c r="B17" s="142" t="str">
        <f aca="false">VLOOKUP($A17,FlowCal,B$1,0)</f>
        <v>Four Points CDP MTR #2</v>
      </c>
      <c r="C17" s="81" t="n">
        <f aca="false">VLOOKUP($A17,FlowCal,C$1,0)</f>
        <v>0</v>
      </c>
      <c r="D17" s="81" t="n">
        <f aca="false">VLOOKUP($A17,FlowCal,D$1,0)</f>
        <v>0</v>
      </c>
      <c r="E17" s="81" t="n">
        <f aca="false">VLOOKUP($A17,FlowCal,E$1,0)</f>
        <v>184.203363110942</v>
      </c>
      <c r="F17" s="81" t="n">
        <f aca="false">VLOOKUP($A17,FlowCal,F$1,0)</f>
        <v>77.8166707818226</v>
      </c>
      <c r="G17" s="143" t="n">
        <f aca="false">VLOOKUP($A17,FlowCal,G$1,0)</f>
        <v>0.11259999871254</v>
      </c>
      <c r="H17" s="143" t="n">
        <f aca="false">VLOOKUP($A17,FlowCal,H$1,0)</f>
        <v>0.621500015258789</v>
      </c>
      <c r="I17" s="143" t="n">
        <f aca="false">VLOOKUP($A17,FlowCal,I$1,0)</f>
        <v>79.1595001220703</v>
      </c>
      <c r="J17" s="143" t="n">
        <f aca="false">VLOOKUP($A17,FlowCal,J$1,0)</f>
        <v>10.7407999038696</v>
      </c>
      <c r="K17" s="143" t="n">
        <f aca="false">VLOOKUP($A17,FlowCal,K$1,0)</f>
        <v>4.7878999710083</v>
      </c>
      <c r="L17" s="143" t="n">
        <f aca="false">VLOOKUP($A17,FlowCal,L$1,0)</f>
        <v>0.769400000572205</v>
      </c>
      <c r="M17" s="143" t="n">
        <f aca="false">VLOOKUP($A17,FlowCal,M$1,0)</f>
        <v>1.67200005054474</v>
      </c>
      <c r="N17" s="143" t="n">
        <f aca="false">VLOOKUP($A17,FlowCal,N$1,0)</f>
        <v>0.427799999713898</v>
      </c>
      <c r="O17" s="143" t="n">
        <f aca="false">VLOOKUP($A17,FlowCal,O$1,0)</f>
        <v>1.05280005931854</v>
      </c>
      <c r="P17" s="144" t="n">
        <f aca="false">VLOOKUP($A17,FlowCal,P$1,0)</f>
        <v>0.655700027942657</v>
      </c>
      <c r="Q17" s="4" t="n">
        <v>0.655700027942657</v>
      </c>
      <c r="S17" s="140" t="n">
        <f aca="false">P17-Q17</f>
        <v>0</v>
      </c>
    </row>
    <row r="18" customFormat="false" ht="15" hidden="false" customHeight="false" outlineLevel="0" collapsed="false">
      <c r="A18" s="141" t="s">
        <v>53</v>
      </c>
      <c r="B18" s="142" t="str">
        <f aca="false">VLOOKUP($A18,FlowCal,B$1,0)</f>
        <v>Wise West CDP MTR # 1</v>
      </c>
      <c r="C18" s="81" t="n">
        <f aca="false">VLOOKUP($A18,FlowCal,C$1,0)</f>
        <v>0</v>
      </c>
      <c r="D18" s="81" t="n">
        <f aca="false">VLOOKUP($A18,FlowCal,D$1,0)</f>
        <v>0</v>
      </c>
      <c r="E18" s="81" t="n">
        <f aca="false">VLOOKUP($A18,FlowCal,E$1,0)</f>
        <v>945.909429324571</v>
      </c>
      <c r="F18" s="81" t="n">
        <f aca="false">VLOOKUP($A18,FlowCal,F$1,0)</f>
        <v>76.9860555382185</v>
      </c>
      <c r="G18" s="143" t="n">
        <f aca="false">VLOOKUP($A18,FlowCal,G$1,0)</f>
        <v>0.359</v>
      </c>
      <c r="H18" s="143" t="n">
        <f aca="false">VLOOKUP($A18,FlowCal,H$1,0)</f>
        <v>0.847000000000001</v>
      </c>
      <c r="I18" s="143" t="n">
        <f aca="false">VLOOKUP($A18,FlowCal,I$1,0)</f>
        <v>80.724</v>
      </c>
      <c r="J18" s="143" t="n">
        <f aca="false">VLOOKUP($A18,FlowCal,J$1,0)</f>
        <v>10.702</v>
      </c>
      <c r="K18" s="143" t="n">
        <f aca="false">VLOOKUP($A18,FlowCal,K$1,0)</f>
        <v>4.31</v>
      </c>
      <c r="L18" s="143" t="n">
        <f aca="false">VLOOKUP($A18,FlowCal,L$1,0)</f>
        <v>0.626</v>
      </c>
      <c r="M18" s="143" t="n">
        <f aca="false">VLOOKUP($A18,FlowCal,M$1,0)</f>
        <v>1.321</v>
      </c>
      <c r="N18" s="143" t="n">
        <f aca="false">VLOOKUP($A18,FlowCal,N$1,0)</f>
        <v>0.321</v>
      </c>
      <c r="O18" s="143" t="n">
        <f aca="false">VLOOKUP($A18,FlowCal,O$1,0)</f>
        <v>0.359</v>
      </c>
      <c r="P18" s="144" t="n">
        <f aca="false">VLOOKUP($A18,FlowCal,P$1,0)</f>
        <v>0.431</v>
      </c>
      <c r="Q18" s="4" t="n">
        <v>0.237</v>
      </c>
      <c r="S18" s="140" t="n">
        <f aca="false">P18-Q18</f>
        <v>0.194</v>
      </c>
    </row>
    <row r="19" customFormat="false" ht="15" hidden="false" customHeight="false" outlineLevel="0" collapsed="false">
      <c r="A19" s="141" t="s">
        <v>54</v>
      </c>
      <c r="B19" s="142" t="str">
        <f aca="false">VLOOKUP($A19,FlowCal,B$1,0)</f>
        <v>Wise West CDP MTR # 2</v>
      </c>
      <c r="C19" s="81" t="n">
        <f aca="false">VLOOKUP($A19,FlowCal,C$1,0)</f>
        <v>45361.55</v>
      </c>
      <c r="D19" s="81" t="n">
        <f aca="false">VLOOKUP($A19,FlowCal,D$1,0)</f>
        <v>55613.26</v>
      </c>
      <c r="E19" s="81" t="n">
        <f aca="false">VLOOKUP($A19,FlowCal,E$1,0)</f>
        <v>975.91517588566</v>
      </c>
      <c r="F19" s="81" t="n">
        <f aca="false">VLOOKUP($A19,FlowCal,F$1,0)</f>
        <v>74.9318121595437</v>
      </c>
      <c r="G19" s="143" t="n">
        <f aca="false">VLOOKUP($A19,FlowCal,G$1,0)</f>
        <v>0.359</v>
      </c>
      <c r="H19" s="143" t="n">
        <f aca="false">VLOOKUP($A19,FlowCal,H$1,0)</f>
        <v>0.847</v>
      </c>
      <c r="I19" s="143" t="n">
        <f aca="false">VLOOKUP($A19,FlowCal,I$1,0)</f>
        <v>80.724</v>
      </c>
      <c r="J19" s="143" t="n">
        <f aca="false">VLOOKUP($A19,FlowCal,J$1,0)</f>
        <v>10.702</v>
      </c>
      <c r="K19" s="143" t="n">
        <f aca="false">VLOOKUP($A19,FlowCal,K$1,0)</f>
        <v>4.31</v>
      </c>
      <c r="L19" s="143" t="n">
        <f aca="false">VLOOKUP($A19,FlowCal,L$1,0)</f>
        <v>0.626</v>
      </c>
      <c r="M19" s="143" t="n">
        <f aca="false">VLOOKUP($A19,FlowCal,M$1,0)</f>
        <v>1.321</v>
      </c>
      <c r="N19" s="143" t="n">
        <f aca="false">VLOOKUP($A19,FlowCal,N$1,0)</f>
        <v>0.321</v>
      </c>
      <c r="O19" s="143" t="n">
        <f aca="false">VLOOKUP($A19,FlowCal,O$1,0)</f>
        <v>0.359</v>
      </c>
      <c r="P19" s="144" t="n">
        <f aca="false">VLOOKUP($A19,FlowCal,P$1,0)</f>
        <v>0.431</v>
      </c>
      <c r="Q19" s="4" t="n">
        <v>0.237</v>
      </c>
      <c r="S19" s="140" t="n">
        <f aca="false">P19-Q19</f>
        <v>0.194</v>
      </c>
    </row>
    <row r="20" customFormat="false" ht="15" hidden="false" customHeight="false" outlineLevel="0" collapsed="false">
      <c r="A20" s="141" t="s">
        <v>55</v>
      </c>
      <c r="B20" s="142" t="str">
        <f aca="false">VLOOKUP($A20,FlowCal,B$1,0)</f>
        <v>Penner CDP MTR #1</v>
      </c>
      <c r="C20" s="81" t="n">
        <f aca="false">VLOOKUP($A20,FlowCal,C$1,0)</f>
        <v>164104.08</v>
      </c>
      <c r="D20" s="81" t="n">
        <f aca="false">VLOOKUP($A20,FlowCal,D$1,0)</f>
        <v>203412.95</v>
      </c>
      <c r="E20" s="81" t="n">
        <f aca="false">VLOOKUP($A20,FlowCal,E$1,0)</f>
        <v>965.560787038263</v>
      </c>
      <c r="F20" s="81" t="n">
        <f aca="false">VLOOKUP($A20,FlowCal,F$1,0)</f>
        <v>97.7972614856566</v>
      </c>
      <c r="G20" s="143" t="n">
        <f aca="false">VLOOKUP($A20,FlowCal,G$1,0)</f>
        <v>0.00510418212034034</v>
      </c>
      <c r="H20" s="143" t="n">
        <f aca="false">VLOOKUP($A20,FlowCal,H$1,0)</f>
        <v>0.594280508772907</v>
      </c>
      <c r="I20" s="143" t="n">
        <f aca="false">VLOOKUP($A20,FlowCal,I$1,0)</f>
        <v>81.2786633147187</v>
      </c>
      <c r="J20" s="143" t="n">
        <f aca="false">VLOOKUP($A20,FlowCal,J$1,0)</f>
        <v>10.5018070889406</v>
      </c>
      <c r="K20" s="143" t="n">
        <f aca="false">VLOOKUP($A20,FlowCal,K$1,0)</f>
        <v>4.25902740437906</v>
      </c>
      <c r="L20" s="143" t="n">
        <f aca="false">VLOOKUP($A20,FlowCal,L$1,0)</f>
        <v>0.694532701298378</v>
      </c>
      <c r="M20" s="143" t="n">
        <f aca="false">VLOOKUP($A20,FlowCal,M$1,0)</f>
        <v>1.38931661717306</v>
      </c>
      <c r="N20" s="143" t="n">
        <f aca="false">VLOOKUP($A20,FlowCal,N$1,0)</f>
        <v>0.361497121940463</v>
      </c>
      <c r="O20" s="143" t="n">
        <f aca="false">VLOOKUP($A20,FlowCal,O$1,0)</f>
        <v>0.414292165717674</v>
      </c>
      <c r="P20" s="144" t="n">
        <f aca="false">VLOOKUP($A20,FlowCal,P$1,0)</f>
        <v>0.501478798236785</v>
      </c>
      <c r="Q20" s="4" t="n">
        <v>0.471130717515579</v>
      </c>
      <c r="S20" s="140" t="n">
        <f aca="false">P20-Q20</f>
        <v>0.0303480807212061</v>
      </c>
    </row>
    <row r="21" customFormat="false" ht="15.75" hidden="false" customHeight="true" outlineLevel="0" collapsed="false">
      <c r="A21" s="141" t="s">
        <v>56</v>
      </c>
      <c r="B21" s="142" t="str">
        <f aca="false">VLOOKUP($A21,FlowCal,B$1,0)</f>
        <v>Penner CDP MTR #2</v>
      </c>
      <c r="C21" s="81" t="n">
        <f aca="false">VLOOKUP($A21,FlowCal,C$1,0)</f>
        <v>0</v>
      </c>
      <c r="D21" s="81" t="n">
        <f aca="false">VLOOKUP($A21,FlowCal,D$1,0)</f>
        <v>0</v>
      </c>
      <c r="E21" s="81" t="n">
        <f aca="false">VLOOKUP($A21,FlowCal,E$1,0)</f>
        <v>46.0765275391199</v>
      </c>
      <c r="F21" s="81" t="n">
        <f aca="false">VLOOKUP($A21,FlowCal,F$1,0)</f>
        <v>105.669454554076</v>
      </c>
      <c r="G21" s="143" t="n">
        <f aca="false">VLOOKUP($A21,FlowCal,G$1,0)</f>
        <v>0.0104920869807463</v>
      </c>
      <c r="H21" s="143" t="n">
        <f aca="false">VLOOKUP($A21,FlowCal,H$1,0)</f>
        <v>0.593050870203203</v>
      </c>
      <c r="I21" s="143" t="n">
        <f aca="false">VLOOKUP($A21,FlowCal,I$1,0)</f>
        <v>81.2436523334954</v>
      </c>
      <c r="J21" s="143" t="n">
        <f aca="false">VLOOKUP($A21,FlowCal,J$1,0)</f>
        <v>10.5658812522888</v>
      </c>
      <c r="K21" s="143" t="n">
        <f aca="false">VLOOKUP($A21,FlowCal,K$1,0)</f>
        <v>4.24323085975903</v>
      </c>
      <c r="L21" s="143" t="n">
        <f aca="false">VLOOKUP($A21,FlowCal,L$1,0)</f>
        <v>0.693949774228116</v>
      </c>
      <c r="M21" s="143" t="n">
        <f aca="false">VLOOKUP($A21,FlowCal,M$1,0)</f>
        <v>1.3857839128343</v>
      </c>
      <c r="N21" s="143" t="n">
        <f aca="false">VLOOKUP($A21,FlowCal,N$1,0)</f>
        <v>0.360322510523181</v>
      </c>
      <c r="O21" s="143" t="n">
        <f aca="false">VLOOKUP($A21,FlowCal,O$1,0)</f>
        <v>0.413619444535304</v>
      </c>
      <c r="P21" s="144" t="n">
        <f aca="false">VLOOKUP($A21,FlowCal,P$1,0)</f>
        <v>0.490016855629942</v>
      </c>
      <c r="Q21" s="4" t="n">
        <v>0.473085025496161</v>
      </c>
      <c r="S21" s="140" t="n">
        <f aca="false">P21-Q21</f>
        <v>0.0169318301337812</v>
      </c>
    </row>
    <row r="22" customFormat="false" ht="15.75" hidden="false" customHeight="true" outlineLevel="0" collapsed="false">
      <c r="A22" s="141" t="s">
        <v>57</v>
      </c>
      <c r="B22" s="142" t="str">
        <f aca="false">VLOOKUP($A22,FlowCal,B$1,0)</f>
        <v>Pronghorn CDP</v>
      </c>
      <c r="C22" s="81" t="n">
        <f aca="false">VLOOKUP($A22,FlowCal,C$1,0)</f>
        <v>815353.24</v>
      </c>
      <c r="D22" s="81" t="n">
        <f aca="false">VLOOKUP($A22,FlowCal,D$1,0)</f>
        <v>1002884.54</v>
      </c>
      <c r="E22" s="81" t="n">
        <f aca="false">VLOOKUP($A22,FlowCal,E$1,0)</f>
        <v>989.166348175679</v>
      </c>
      <c r="F22" s="81" t="n">
        <f aca="false">VLOOKUP($A22,FlowCal,F$1,0)</f>
        <v>94.4882714358941</v>
      </c>
      <c r="G22" s="143" t="n">
        <f aca="false">VLOOKUP($A22,FlowCal,G$1,0)</f>
        <v>0.099279756712626</v>
      </c>
      <c r="H22" s="143" t="n">
        <f aca="false">VLOOKUP($A22,FlowCal,H$1,0)</f>
        <v>0.602165263373735</v>
      </c>
      <c r="I22" s="143" t="n">
        <f aca="false">VLOOKUP($A22,FlowCal,I$1,0)</f>
        <v>79.160326528009</v>
      </c>
      <c r="J22" s="143" t="n">
        <f aca="false">VLOOKUP($A22,FlowCal,J$1,0)</f>
        <v>11.1755135924096</v>
      </c>
      <c r="K22" s="143" t="n">
        <f aca="false">VLOOKUP($A22,FlowCal,K$1,0)</f>
        <v>4.99296145641652</v>
      </c>
      <c r="L22" s="143" t="n">
        <f aca="false">VLOOKUP($A22,FlowCal,L$1,0)</f>
        <v>0.772059422793529</v>
      </c>
      <c r="M22" s="143" t="n">
        <f aca="false">VLOOKUP($A22,FlowCal,M$1,0)</f>
        <v>1.70336529291086</v>
      </c>
      <c r="N22" s="143" t="n">
        <f aca="false">VLOOKUP($A22,FlowCal,N$1,0)</f>
        <v>0.424818904481619</v>
      </c>
      <c r="O22" s="143" t="n">
        <f aca="false">VLOOKUP($A22,FlowCal,O$1,0)</f>
        <v>0.502816387523273</v>
      </c>
      <c r="P22" s="144" t="n">
        <f aca="false">VLOOKUP($A22,FlowCal,P$1,0)</f>
        <v>0.566691353321856</v>
      </c>
      <c r="Q22" s="4" t="n">
        <v>0.634</v>
      </c>
      <c r="S22" s="140" t="n">
        <f aca="false">P22-Q22</f>
        <v>-0.067308646678144</v>
      </c>
    </row>
    <row r="23" customFormat="false" ht="15.75" hidden="false" customHeight="true" outlineLevel="0" collapsed="false">
      <c r="A23" s="141" t="s">
        <v>58</v>
      </c>
      <c r="B23" s="142" t="str">
        <f aca="false">VLOOKUP($A23,FlowCal,B$1,0)</f>
        <v>Monument Draw CDP MTR #1</v>
      </c>
      <c r="C23" s="81" t="n">
        <f aca="false">VLOOKUP($A23,FlowCal,C$1,0)</f>
        <v>126383.28</v>
      </c>
      <c r="D23" s="81" t="n">
        <f aca="false">VLOOKUP($A23,FlowCal,D$1,0)</f>
        <v>153429.3</v>
      </c>
      <c r="E23" s="81" t="n">
        <f aca="false">VLOOKUP($A23,FlowCal,E$1,0)</f>
        <v>1038.17373472406</v>
      </c>
      <c r="F23" s="81" t="n">
        <f aca="false">VLOOKUP($A23,FlowCal,F$1,0)</f>
        <v>87.138526581894</v>
      </c>
      <c r="G23" s="143" t="n">
        <f aca="false">VLOOKUP($A23,FlowCal,G$1,0)</f>
        <v>2.372</v>
      </c>
      <c r="H23" s="143" t="n">
        <f aca="false">VLOOKUP($A23,FlowCal,H$1,0)</f>
        <v>1.429</v>
      </c>
      <c r="I23" s="143" t="n">
        <f aca="false">VLOOKUP($A23,FlowCal,I$1,0)</f>
        <v>78.31</v>
      </c>
      <c r="J23" s="143" t="n">
        <f aca="false">VLOOKUP($A23,FlowCal,J$1,0)</f>
        <v>9.607</v>
      </c>
      <c r="K23" s="143" t="n">
        <f aca="false">VLOOKUP($A23,FlowCal,K$1,0)</f>
        <v>4.619</v>
      </c>
      <c r="L23" s="143" t="n">
        <f aca="false">VLOOKUP($A23,FlowCal,L$1,0)</f>
        <v>0.699</v>
      </c>
      <c r="M23" s="143" t="n">
        <f aca="false">VLOOKUP($A23,FlowCal,M$1,0)</f>
        <v>1.528</v>
      </c>
      <c r="N23" s="143" t="n">
        <f aca="false">VLOOKUP($A23,FlowCal,N$1,0)</f>
        <v>0.509</v>
      </c>
      <c r="O23" s="143" t="n">
        <f aca="false">VLOOKUP($A23,FlowCal,O$1,0)</f>
        <v>0.405</v>
      </c>
      <c r="P23" s="144" t="n">
        <f aca="false">VLOOKUP($A23,FlowCal,P$1,0)</f>
        <v>0.522</v>
      </c>
      <c r="Q23" s="4" t="n">
        <v>0.468</v>
      </c>
      <c r="S23" s="140" t="n">
        <f aca="false">P23-Q23</f>
        <v>0.054</v>
      </c>
    </row>
    <row r="24" customFormat="false" ht="15.75" hidden="false" customHeight="true" outlineLevel="0" collapsed="false">
      <c r="A24" s="141" t="s">
        <v>59</v>
      </c>
      <c r="B24" s="142" t="str">
        <f aca="false">VLOOKUP($A24,FlowCal,B$1,0)</f>
        <v>West Quito CDP #2</v>
      </c>
      <c r="C24" s="81" t="n">
        <f aca="false">VLOOKUP($A24,FlowCal,C$1,0)</f>
        <v>0</v>
      </c>
      <c r="D24" s="81" t="n">
        <f aca="false">VLOOKUP($A24,FlowCal,D$1,0)</f>
        <v>0</v>
      </c>
      <c r="E24" s="81" t="n">
        <f aca="false">VLOOKUP($A24,FlowCal,E$1,0)</f>
        <v>13.6736551548845</v>
      </c>
      <c r="F24" s="81" t="n">
        <f aca="false">VLOOKUP($A24,FlowCal,F$1,0)</f>
        <v>79.194365978241</v>
      </c>
      <c r="G24" s="143" t="n">
        <f aca="false">VLOOKUP($A24,FlowCal,G$1,0)</f>
        <v>0.176</v>
      </c>
      <c r="H24" s="143" t="n">
        <f aca="false">VLOOKUP($A24,FlowCal,H$1,0)</f>
        <v>0.485</v>
      </c>
      <c r="I24" s="143" t="n">
        <f aca="false">VLOOKUP($A24,FlowCal,I$1,0)</f>
        <v>85.8800000000001</v>
      </c>
      <c r="J24" s="143" t="n">
        <f aca="false">VLOOKUP($A24,FlowCal,J$1,0)</f>
        <v>7.333</v>
      </c>
      <c r="K24" s="143" t="n">
        <f aca="false">VLOOKUP($A24,FlowCal,K$1,0)</f>
        <v>3.294</v>
      </c>
      <c r="L24" s="143" t="n">
        <f aca="false">VLOOKUP($A24,FlowCal,L$1,0)</f>
        <v>0.45</v>
      </c>
      <c r="M24" s="143" t="n">
        <f aca="false">VLOOKUP($A24,FlowCal,M$1,0)</f>
        <v>1.099</v>
      </c>
      <c r="N24" s="143" t="n">
        <f aca="false">VLOOKUP($A24,FlowCal,N$1,0)</f>
        <v>0.289</v>
      </c>
      <c r="O24" s="143" t="n">
        <f aca="false">VLOOKUP($A24,FlowCal,O$1,0)</f>
        <v>0.349</v>
      </c>
      <c r="P24" s="144" t="n">
        <f aca="false">VLOOKUP($A24,FlowCal,P$1,0)</f>
        <v>0.645</v>
      </c>
      <c r="Q24" s="4" t="n">
        <v>0.645</v>
      </c>
      <c r="S24" s="140" t="n">
        <f aca="false">P24-Q24</f>
        <v>0</v>
      </c>
    </row>
    <row r="25" customFormat="false" ht="15.75" hidden="false" customHeight="true" outlineLevel="0" collapsed="false">
      <c r="A25" s="141" t="s">
        <v>60</v>
      </c>
      <c r="B25" s="142" t="str">
        <f aca="false">VLOOKUP($A25,FlowCal,B$1,0)</f>
        <v>University CDP MTR #1</v>
      </c>
      <c r="C25" s="81" t="n">
        <f aca="false">VLOOKUP($A25,FlowCal,C$1,0)</f>
        <v>14399.14</v>
      </c>
      <c r="D25" s="81" t="n">
        <f aca="false">VLOOKUP($A25,FlowCal,D$1,0)</f>
        <v>20187.6</v>
      </c>
      <c r="E25" s="81" t="n">
        <f aca="false">VLOOKUP($A25,FlowCal,E$1,0)</f>
        <v>71.1374473111294</v>
      </c>
      <c r="F25" s="81" t="n">
        <f aca="false">VLOOKUP($A25,FlowCal,F$1,0)</f>
        <v>79.980892128898</v>
      </c>
      <c r="G25" s="146" t="n">
        <v>0.259</v>
      </c>
      <c r="H25" s="146" t="n">
        <v>1.405</v>
      </c>
      <c r="I25" s="146" t="n">
        <v>70.14</v>
      </c>
      <c r="J25" s="146" t="n">
        <v>12.827</v>
      </c>
      <c r="K25" s="146" t="n">
        <v>8.599</v>
      </c>
      <c r="L25" s="146" t="n">
        <v>0.996</v>
      </c>
      <c r="M25" s="146" t="n">
        <v>3.193</v>
      </c>
      <c r="N25" s="146" t="n">
        <v>0.671</v>
      </c>
      <c r="O25" s="146" t="n">
        <v>0.803</v>
      </c>
      <c r="P25" s="147" t="n">
        <v>1.107</v>
      </c>
      <c r="Q25" s="4" t="n">
        <v>1.107</v>
      </c>
      <c r="S25" s="140" t="n">
        <f aca="false">P25-Q25</f>
        <v>0</v>
      </c>
    </row>
    <row r="26" customFormat="false" ht="15.75" hidden="false" customHeight="true" outlineLevel="0" collapsed="false">
      <c r="A26" s="141" t="s">
        <v>61</v>
      </c>
      <c r="B26" s="142" t="str">
        <f aca="false">VLOOKUP($A26,FlowCal,B$1,0)</f>
        <v>US Energy 4320 CDP</v>
      </c>
      <c r="C26" s="81" t="n">
        <f aca="false">VLOOKUP($A26,FlowCal,C$1,0)</f>
        <v>29648.04</v>
      </c>
      <c r="D26" s="81" t="n">
        <f aca="false">VLOOKUP($A26,FlowCal,D$1,0)</f>
        <v>46488.12</v>
      </c>
      <c r="E26" s="81" t="n">
        <f aca="false">VLOOKUP($A26,FlowCal,E$1,0)</f>
        <v>77.2879731657529</v>
      </c>
      <c r="F26" s="81" t="n">
        <f aca="false">VLOOKUP($A26,FlowCal,F$1,0)</f>
        <v>90.7630518904569</v>
      </c>
      <c r="G26" s="146" t="n">
        <v>0.321</v>
      </c>
      <c r="H26" s="146" t="n">
        <v>1.291</v>
      </c>
      <c r="I26" s="146" t="n">
        <v>70.355</v>
      </c>
      <c r="J26" s="146" t="n">
        <v>12.637</v>
      </c>
      <c r="K26" s="146" t="n">
        <v>8.294</v>
      </c>
      <c r="L26" s="146" t="n">
        <v>0.989</v>
      </c>
      <c r="M26" s="146" t="n">
        <v>3.134</v>
      </c>
      <c r="N26" s="146" t="n">
        <v>0.728</v>
      </c>
      <c r="O26" s="146" t="n">
        <v>0.9</v>
      </c>
      <c r="P26" s="147" t="n">
        <v>1.351</v>
      </c>
      <c r="Q26" s="4" t="n">
        <v>1.351</v>
      </c>
      <c r="S26" s="140" t="n">
        <f aca="false">P26-Q26</f>
        <v>0</v>
      </c>
    </row>
    <row r="27" customFormat="false" ht="15.75" hidden="false" customHeight="true" outlineLevel="0" collapsed="false">
      <c r="A27" s="141" t="s">
        <v>9</v>
      </c>
      <c r="B27" s="142" t="str">
        <f aca="false">VLOOKUP($A27,FlowCal,B$1,0)</f>
        <v>Nailed It B CDP</v>
      </c>
      <c r="C27" s="81" t="n">
        <f aca="false">VLOOKUP($A27,FlowCal,C$1,0)</f>
        <v>786056.19</v>
      </c>
      <c r="D27" s="81" t="n">
        <f aca="false">VLOOKUP($A27,FlowCal,D$1,0)</f>
        <v>1024231.22</v>
      </c>
      <c r="E27" s="81" t="n">
        <f aca="false">VLOOKUP($A27,FlowCal,E$1,0)</f>
        <v>92.4391822175048</v>
      </c>
      <c r="F27" s="81" t="n">
        <f aca="false">VLOOKUP($A27,FlowCal,F$1,0)</f>
        <v>93.1365001657748</v>
      </c>
      <c r="G27" s="146" t="n">
        <v>0.145</v>
      </c>
      <c r="H27" s="146" t="n">
        <v>0.962</v>
      </c>
      <c r="I27" s="146" t="n">
        <v>78.52</v>
      </c>
      <c r="J27" s="146" t="n">
        <v>11.321</v>
      </c>
      <c r="K27" s="146" t="n">
        <v>5.149</v>
      </c>
      <c r="L27" s="146" t="n">
        <v>0.803</v>
      </c>
      <c r="M27" s="146" t="n">
        <v>1.744</v>
      </c>
      <c r="N27" s="146" t="n">
        <v>0.532</v>
      </c>
      <c r="O27" s="146" t="n">
        <v>0.449</v>
      </c>
      <c r="P27" s="147" t="n">
        <v>0.375</v>
      </c>
      <c r="Q27" s="4" t="n">
        <v>0.375</v>
      </c>
      <c r="S27" s="140" t="n">
        <f aca="false">P27-Q27</f>
        <v>0</v>
      </c>
    </row>
    <row r="28" customFormat="false" ht="15.75" hidden="false" customHeight="true" outlineLevel="0" collapsed="false">
      <c r="A28" s="141" t="s">
        <v>63</v>
      </c>
      <c r="B28" s="142" t="str">
        <f aca="false">VLOOKUP($A28,FlowCal,B$1,0)</f>
        <v>Cypress 33 B CDP MTR #1</v>
      </c>
      <c r="C28" s="81" t="n">
        <f aca="false">VLOOKUP($A28,FlowCal,C$1,0)</f>
        <v>0</v>
      </c>
      <c r="D28" s="81" t="n">
        <f aca="false">VLOOKUP($A28,FlowCal,D$1,0)</f>
        <v>0</v>
      </c>
      <c r="E28" s="81" t="n">
        <f aca="false">VLOOKUP($A28,FlowCal,E$1,0)</f>
        <v>47.3303692212669</v>
      </c>
      <c r="F28" s="81" t="n">
        <f aca="false">VLOOKUP($A28,FlowCal,F$1,0)</f>
        <v>82.1364990203612</v>
      </c>
      <c r="G28" s="143" t="n">
        <f aca="false">VLOOKUP($A28,FlowCal,G$1,0)</f>
        <v>0.101</v>
      </c>
      <c r="H28" s="143" t="n">
        <f aca="false">VLOOKUP($A28,FlowCal,H$1,0)</f>
        <v>0.827000000000001</v>
      </c>
      <c r="I28" s="143" t="n">
        <f aca="false">VLOOKUP($A28,FlowCal,I$1,0)</f>
        <v>78.631</v>
      </c>
      <c r="J28" s="143" t="n">
        <f aca="false">VLOOKUP($A28,FlowCal,J$1,0)</f>
        <v>11.052</v>
      </c>
      <c r="K28" s="143" t="n">
        <f aca="false">VLOOKUP($A28,FlowCal,K$1,0)</f>
        <v>4.952</v>
      </c>
      <c r="L28" s="143" t="n">
        <f aca="false">VLOOKUP($A28,FlowCal,L$1,0)</f>
        <v>0.774000000000001</v>
      </c>
      <c r="M28" s="143" t="n">
        <f aca="false">VLOOKUP($A28,FlowCal,M$1,0)</f>
        <v>1.717</v>
      </c>
      <c r="N28" s="143" t="n">
        <f aca="false">VLOOKUP($A28,FlowCal,N$1,0)</f>
        <v>0.462</v>
      </c>
      <c r="O28" s="143" t="n">
        <f aca="false">VLOOKUP($A28,FlowCal,O$1,0)</f>
        <v>0.514</v>
      </c>
      <c r="P28" s="144" t="n">
        <f aca="false">VLOOKUP($A28,FlowCal,P$1,0)</f>
        <v>0.969999999999999</v>
      </c>
      <c r="Q28" s="4" t="n">
        <v>0.63</v>
      </c>
      <c r="S28" s="140" t="n">
        <f aca="false">P28-Q28</f>
        <v>0.339999999999999</v>
      </c>
    </row>
    <row r="29" customFormat="false" ht="15.75" hidden="false" customHeight="true" outlineLevel="0" collapsed="false">
      <c r="A29" s="141" t="s">
        <v>64</v>
      </c>
      <c r="B29" s="142" t="str">
        <f aca="false">VLOOKUP($A29,FlowCal,B$1,0)</f>
        <v>Cypress 33 B CDP MTR #2</v>
      </c>
      <c r="C29" s="81" t="n">
        <f aca="false">VLOOKUP($A29,FlowCal,C$1,0)</f>
        <v>325254.55</v>
      </c>
      <c r="D29" s="81" t="n">
        <f aca="false">VLOOKUP($A29,FlowCal,D$1,0)</f>
        <v>417952.1</v>
      </c>
      <c r="E29" s="81" t="n">
        <f aca="false">VLOOKUP($A29,FlowCal,E$1,0)</f>
        <v>76.9074506929402</v>
      </c>
      <c r="F29" s="81" t="n">
        <f aca="false">VLOOKUP($A29,FlowCal,F$1,0)</f>
        <v>87.6471195839257</v>
      </c>
      <c r="G29" s="146" t="n">
        <v>1.552</v>
      </c>
      <c r="H29" s="146" t="n">
        <v>1.198</v>
      </c>
      <c r="I29" s="146" t="n">
        <v>78.072</v>
      </c>
      <c r="J29" s="146" t="n">
        <v>10.824</v>
      </c>
      <c r="K29" s="146" t="n">
        <v>4.78</v>
      </c>
      <c r="L29" s="146" t="n">
        <v>0.671</v>
      </c>
      <c r="M29" s="146" t="n">
        <v>1.498</v>
      </c>
      <c r="N29" s="146" t="n">
        <v>0.369</v>
      </c>
      <c r="O29" s="146" t="n">
        <v>0.406</v>
      </c>
      <c r="P29" s="147" t="n">
        <v>0.63</v>
      </c>
      <c r="Q29" s="4" t="n">
        <v>0.63</v>
      </c>
      <c r="S29" s="140" t="n">
        <f aca="false">P29-Q29</f>
        <v>0</v>
      </c>
    </row>
    <row r="30" customFormat="false" ht="15.75" hidden="false" customHeight="true" outlineLevel="0" collapsed="false">
      <c r="A30" s="141" t="s">
        <v>65</v>
      </c>
      <c r="B30" s="142" t="str">
        <f aca="false">VLOOKUP($A30,FlowCal,B$1,0)</f>
        <v>Money Graham B CDP</v>
      </c>
      <c r="C30" s="81" t="n">
        <f aca="false">VLOOKUP($A30,FlowCal,C$1,0)</f>
        <v>166498.74</v>
      </c>
      <c r="D30" s="81" t="n">
        <f aca="false">VLOOKUP($A30,FlowCal,D$1,0)</f>
        <v>223957.45</v>
      </c>
      <c r="E30" s="81" t="n">
        <f aca="false">VLOOKUP($A30,FlowCal,E$1,0)</f>
        <v>80.3037823893195</v>
      </c>
      <c r="F30" s="81" t="n">
        <f aca="false">VLOOKUP($A30,FlowCal,F$1,0)</f>
        <v>95.1078334775595</v>
      </c>
      <c r="G30" s="146" t="n">
        <v>0.41</v>
      </c>
      <c r="H30" s="146" t="n">
        <v>0.872</v>
      </c>
      <c r="I30" s="146" t="n">
        <v>69.481</v>
      </c>
      <c r="J30" s="146" t="n">
        <v>14.651</v>
      </c>
      <c r="K30" s="146" t="n">
        <v>8.564</v>
      </c>
      <c r="L30" s="146" t="n">
        <v>1.292</v>
      </c>
      <c r="M30" s="146" t="n">
        <v>2.95</v>
      </c>
      <c r="N30" s="146" t="n">
        <v>0.595</v>
      </c>
      <c r="O30" s="146" t="n">
        <v>0.511</v>
      </c>
      <c r="P30" s="147" t="n">
        <v>0.674</v>
      </c>
      <c r="Q30" s="4" t="n">
        <v>0.674</v>
      </c>
      <c r="S30" s="140" t="n">
        <f aca="false">P30-Q30</f>
        <v>0</v>
      </c>
    </row>
    <row r="31" customFormat="false" ht="15.75" hidden="false" customHeight="true" outlineLevel="0" collapsed="false">
      <c r="A31" s="141" t="s">
        <v>66</v>
      </c>
      <c r="B31" s="142" t="str">
        <f aca="false">VLOOKUP($A31,FlowCal,B$1,0)</f>
        <v>Money Graham A CDP MTR #2</v>
      </c>
      <c r="C31" s="81" t="n">
        <f aca="false">VLOOKUP($A31,FlowCal,C$1,0)</f>
        <v>397018.39</v>
      </c>
      <c r="D31" s="81" t="n">
        <f aca="false">VLOOKUP($A31,FlowCal,D$1,0)</f>
        <v>508977.57</v>
      </c>
      <c r="E31" s="81" t="n">
        <f aca="false">VLOOKUP($A31,FlowCal,E$1,0)</f>
        <v>79.5285223220425</v>
      </c>
      <c r="F31" s="81" t="n">
        <f aca="false">VLOOKUP($A31,FlowCal,F$1,0)</f>
        <v>87.8186506354005</v>
      </c>
      <c r="G31" s="143" t="n">
        <f aca="false">VLOOKUP($A31,FlowCal,G$1,0)</f>
        <v>0.149</v>
      </c>
      <c r="H31" s="143" t="n">
        <f aca="false">VLOOKUP($A31,FlowCal,H$1,0)</f>
        <v>0.795</v>
      </c>
      <c r="I31" s="143" t="n">
        <f aca="false">VLOOKUP($A31,FlowCal,I$1,0)</f>
        <v>78.823</v>
      </c>
      <c r="J31" s="143" t="n">
        <f aca="false">VLOOKUP($A31,FlowCal,J$1,0)</f>
        <v>11.069</v>
      </c>
      <c r="K31" s="143" t="n">
        <f aca="false">VLOOKUP($A31,FlowCal,K$1,0)</f>
        <v>4.789</v>
      </c>
      <c r="L31" s="143" t="n">
        <f aca="false">VLOOKUP($A31,FlowCal,L$1,0)</f>
        <v>0.759</v>
      </c>
      <c r="M31" s="143" t="n">
        <f aca="false">VLOOKUP($A31,FlowCal,M$1,0)</f>
        <v>1.644</v>
      </c>
      <c r="N31" s="143" t="n">
        <f aca="false">VLOOKUP($A31,FlowCal,N$1,0)</f>
        <v>0.446</v>
      </c>
      <c r="O31" s="143" t="n">
        <f aca="false">VLOOKUP($A31,FlowCal,O$1,0)</f>
        <v>0.499</v>
      </c>
      <c r="P31" s="144" t="n">
        <f aca="false">VLOOKUP($A31,FlowCal,P$1,0)</f>
        <v>1.027</v>
      </c>
      <c r="Q31" s="4" t="n">
        <v>1.077</v>
      </c>
      <c r="S31" s="140" t="n">
        <f aca="false">P31-Q31</f>
        <v>-0.05</v>
      </c>
    </row>
    <row r="32" customFormat="false" ht="15.75" hidden="false" customHeight="true" outlineLevel="0" collapsed="false">
      <c r="A32" s="141" t="s">
        <v>67</v>
      </c>
      <c r="B32" s="142" t="str">
        <f aca="false">VLOOKUP($A32,FlowCal,B$1,0)</f>
        <v>Pliny The Elder CDP</v>
      </c>
      <c r="C32" s="81" t="n">
        <f aca="false">VLOOKUP($A32,FlowCal,C$1,0)</f>
        <v>287535.81</v>
      </c>
      <c r="D32" s="81" t="n">
        <f aca="false">VLOOKUP($A32,FlowCal,D$1,0)</f>
        <v>366895.69</v>
      </c>
      <c r="E32" s="81" t="n">
        <f aca="false">VLOOKUP($A32,FlowCal,E$1,0)</f>
        <v>66.506085676504</v>
      </c>
      <c r="F32" s="81" t="n">
        <f aca="false">VLOOKUP($A32,FlowCal,F$1,0)</f>
        <v>93.7986342383159</v>
      </c>
      <c r="G32" s="146" t="n">
        <v>0.087</v>
      </c>
      <c r="H32" s="146" t="n">
        <v>0.986</v>
      </c>
      <c r="I32" s="146" t="n">
        <v>79.568</v>
      </c>
      <c r="J32" s="146" t="n">
        <v>11.194</v>
      </c>
      <c r="K32" s="146" t="n">
        <v>4.827</v>
      </c>
      <c r="L32" s="146" t="n">
        <v>0.733</v>
      </c>
      <c r="M32" s="146" t="n">
        <v>1.5</v>
      </c>
      <c r="N32" s="146" t="n">
        <v>0.364</v>
      </c>
      <c r="O32" s="146" t="n">
        <v>0.367</v>
      </c>
      <c r="P32" s="147" t="n">
        <v>0.374</v>
      </c>
      <c r="Q32" s="4" t="n">
        <v>0.374</v>
      </c>
      <c r="S32" s="140" t="n">
        <f aca="false">P32-Q32</f>
        <v>0</v>
      </c>
    </row>
    <row r="33" customFormat="false" ht="15.75" hidden="false" customHeight="true" outlineLevel="0" collapsed="false">
      <c r="A33" s="141" t="s">
        <v>11</v>
      </c>
      <c r="B33" s="142" t="str">
        <f aca="false">VLOOKUP($A33,FlowCal,B$1,0)</f>
        <v>Cypress 34 A CDP</v>
      </c>
      <c r="C33" s="81" t="n">
        <f aca="false">VLOOKUP($A33,FlowCal,C$1,0)</f>
        <v>260982.1</v>
      </c>
      <c r="D33" s="81" t="n">
        <f aca="false">VLOOKUP($A33,FlowCal,D$1,0)</f>
        <v>327271.55</v>
      </c>
      <c r="E33" s="81" t="n">
        <f aca="false">VLOOKUP($A33,FlowCal,E$1,0)</f>
        <v>69.6057037655324</v>
      </c>
      <c r="F33" s="81" t="n">
        <f aca="false">VLOOKUP($A33,FlowCal,F$1,0)</f>
        <v>74.5389554167065</v>
      </c>
      <c r="G33" s="143" t="n">
        <f aca="false">VLOOKUP($A33,FlowCal,G$1,0)</f>
        <v>0.212</v>
      </c>
      <c r="H33" s="143" t="n">
        <f aca="false">VLOOKUP($A33,FlowCal,H$1,0)</f>
        <v>0.924</v>
      </c>
      <c r="I33" s="143" t="n">
        <f aca="false">VLOOKUP($A33,FlowCal,I$1,0)</f>
        <v>79.81</v>
      </c>
      <c r="J33" s="143" t="n">
        <f aca="false">VLOOKUP($A33,FlowCal,J$1,0)</f>
        <v>10.702</v>
      </c>
      <c r="K33" s="143" t="n">
        <f aca="false">VLOOKUP($A33,FlowCal,K$1,0)</f>
        <v>4.62</v>
      </c>
      <c r="L33" s="143" t="n">
        <f aca="false">VLOOKUP($A33,FlowCal,L$1,0)</f>
        <v>0.685</v>
      </c>
      <c r="M33" s="143" t="n">
        <f aca="false">VLOOKUP($A33,FlowCal,M$1,0)</f>
        <v>1.487</v>
      </c>
      <c r="N33" s="143" t="n">
        <f aca="false">VLOOKUP($A33,FlowCal,N$1,0)</f>
        <v>0.381</v>
      </c>
      <c r="O33" s="143" t="n">
        <f aca="false">VLOOKUP($A33,FlowCal,O$1,0)</f>
        <v>0.416</v>
      </c>
      <c r="P33" s="144" t="n">
        <f aca="false">VLOOKUP($A33,FlowCal,P$1,0)</f>
        <v>0.763</v>
      </c>
      <c r="Q33" s="4" t="n">
        <v>1.045</v>
      </c>
      <c r="S33" s="140" t="n">
        <f aca="false">P33-Q33</f>
        <v>-0.282</v>
      </c>
    </row>
    <row r="34" customFormat="false" ht="15.75" hidden="false" customHeight="true" outlineLevel="0" collapsed="false">
      <c r="A34" s="141" t="s">
        <v>12</v>
      </c>
      <c r="B34" s="142" t="str">
        <f aca="false">VLOOKUP($A34,FlowCal,B$1,0)</f>
        <v>Welcome to Golden CDP MTR #1</v>
      </c>
      <c r="C34" s="81" t="n">
        <f aca="false">VLOOKUP($A34,FlowCal,C$1,0)</f>
        <v>390995.13</v>
      </c>
      <c r="D34" s="81" t="n">
        <f aca="false">VLOOKUP($A34,FlowCal,D$1,0)</f>
        <v>514119.49</v>
      </c>
      <c r="E34" s="81" t="n">
        <f aca="false">VLOOKUP($A34,FlowCal,E$1,0)</f>
        <v>86.9701735366163</v>
      </c>
      <c r="F34" s="81" t="n">
        <f aca="false">VLOOKUP($A34,FlowCal,F$1,0)</f>
        <v>94.5263672644228</v>
      </c>
      <c r="G34" s="143" t="n">
        <f aca="false">VLOOKUP($A34,FlowCal,G$1,0)</f>
        <v>0.165</v>
      </c>
      <c r="H34" s="143" t="n">
        <f aca="false">VLOOKUP($A34,FlowCal,H$1,0)</f>
        <v>0.866</v>
      </c>
      <c r="I34" s="143" t="n">
        <f aca="false">VLOOKUP($A34,FlowCal,I$1,0)</f>
        <v>77.195</v>
      </c>
      <c r="J34" s="143" t="n">
        <f aca="false">VLOOKUP($A34,FlowCal,J$1,0)</f>
        <v>11.392</v>
      </c>
      <c r="K34" s="143" t="n">
        <f aca="false">VLOOKUP($A34,FlowCal,K$1,0)</f>
        <v>5.235</v>
      </c>
      <c r="L34" s="143" t="n">
        <f aca="false">VLOOKUP($A34,FlowCal,L$1,0)</f>
        <v>0.841</v>
      </c>
      <c r="M34" s="143" t="n">
        <f aca="false">VLOOKUP($A34,FlowCal,M$1,0)</f>
        <v>1.873</v>
      </c>
      <c r="N34" s="143" t="n">
        <f aca="false">VLOOKUP($A34,FlowCal,N$1,0)</f>
        <v>0.515</v>
      </c>
      <c r="O34" s="143" t="n">
        <f aca="false">VLOOKUP($A34,FlowCal,O$1,0)</f>
        <v>0.59</v>
      </c>
      <c r="P34" s="144" t="n">
        <f aca="false">VLOOKUP($A34,FlowCal,P$1,0)</f>
        <v>1.328</v>
      </c>
      <c r="Q34" s="4" t="n">
        <v>1.627</v>
      </c>
      <c r="S34" s="140" t="n">
        <f aca="false">P34-Q34</f>
        <v>-0.299</v>
      </c>
    </row>
    <row r="35" customFormat="false" ht="15.75" hidden="false" customHeight="true" outlineLevel="0" collapsed="false">
      <c r="A35" s="141" t="s">
        <v>13</v>
      </c>
      <c r="B35" s="142" t="str">
        <f aca="false">VLOOKUP($A35,FlowCal,B$1,0)</f>
        <v>Welcome to Golden CDP MTR #2</v>
      </c>
      <c r="C35" s="81" t="n">
        <f aca="false">VLOOKUP($A35,FlowCal,C$1,0)</f>
        <v>475522.56</v>
      </c>
      <c r="D35" s="81" t="n">
        <f aca="false">VLOOKUP($A35,FlowCal,D$1,0)</f>
        <v>625264.62</v>
      </c>
      <c r="E35" s="81" t="n">
        <f aca="false">VLOOKUP($A35,FlowCal,E$1,0)</f>
        <v>86.6335211499817</v>
      </c>
      <c r="F35" s="81" t="n">
        <f aca="false">VLOOKUP($A35,FlowCal,F$1,0)</f>
        <v>94.319810597109</v>
      </c>
      <c r="G35" s="143" t="n">
        <f aca="false">VLOOKUP($A35,FlowCal,G$1,0)</f>
        <v>0.165</v>
      </c>
      <c r="H35" s="143" t="n">
        <f aca="false">VLOOKUP($A35,FlowCal,H$1,0)</f>
        <v>0.866</v>
      </c>
      <c r="I35" s="143" t="n">
        <f aca="false">VLOOKUP($A35,FlowCal,I$1,0)</f>
        <v>77.195</v>
      </c>
      <c r="J35" s="143" t="n">
        <f aca="false">VLOOKUP($A35,FlowCal,J$1,0)</f>
        <v>11.392</v>
      </c>
      <c r="K35" s="143" t="n">
        <f aca="false">VLOOKUP($A35,FlowCal,K$1,0)</f>
        <v>5.235</v>
      </c>
      <c r="L35" s="143" t="n">
        <f aca="false">VLOOKUP($A35,FlowCal,L$1,0)</f>
        <v>0.841</v>
      </c>
      <c r="M35" s="143" t="n">
        <f aca="false">VLOOKUP($A35,FlowCal,M$1,0)</f>
        <v>1.873</v>
      </c>
      <c r="N35" s="143" t="n">
        <f aca="false">VLOOKUP($A35,FlowCal,N$1,0)</f>
        <v>0.515</v>
      </c>
      <c r="O35" s="143" t="n">
        <f aca="false">VLOOKUP($A35,FlowCal,O$1,0)</f>
        <v>0.59</v>
      </c>
      <c r="P35" s="144" t="n">
        <f aca="false">VLOOKUP($A35,FlowCal,P$1,0)</f>
        <v>1.328</v>
      </c>
      <c r="Q35" s="4" t="n">
        <v>1.627</v>
      </c>
      <c r="S35" s="140" t="n">
        <f aca="false">P35-Q35</f>
        <v>-0.299</v>
      </c>
    </row>
    <row r="36" customFormat="false" ht="15.75" hidden="false" customHeight="true" outlineLevel="0" collapsed="false">
      <c r="A36" s="141" t="s">
        <v>68</v>
      </c>
      <c r="B36" s="142" t="str">
        <f aca="false">VLOOKUP($A36,FlowCal,B$1,0)</f>
        <v>Cypress 34 B CDP</v>
      </c>
      <c r="C36" s="81" t="n">
        <f aca="false">VLOOKUP($A36,FlowCal,C$1,0)</f>
        <v>131921.42</v>
      </c>
      <c r="D36" s="81" t="n">
        <f aca="false">VLOOKUP($A36,FlowCal,D$1,0)</f>
        <v>167935.97</v>
      </c>
      <c r="E36" s="81" t="n">
        <f aca="false">VLOOKUP($A36,FlowCal,E$1,0)</f>
        <v>69.5052915715093</v>
      </c>
      <c r="F36" s="81" t="n">
        <f aca="false">VLOOKUP($A36,FlowCal,F$1,0)</f>
        <v>73.0207136120128</v>
      </c>
      <c r="G36" s="143" t="n">
        <f aca="false">VLOOKUP($A36,FlowCal,G$1,0)</f>
        <v>0.109</v>
      </c>
      <c r="H36" s="143" t="n">
        <f aca="false">VLOOKUP($A36,FlowCal,H$1,0)</f>
        <v>1.045</v>
      </c>
      <c r="I36" s="143" t="n">
        <f aca="false">VLOOKUP($A36,FlowCal,I$1,0)</f>
        <v>78.009</v>
      </c>
      <c r="J36" s="143" t="n">
        <f aca="false">VLOOKUP($A36,FlowCal,J$1,0)</f>
        <v>11.578</v>
      </c>
      <c r="K36" s="143" t="n">
        <f aca="false">VLOOKUP($A36,FlowCal,K$1,0)</f>
        <v>5.413</v>
      </c>
      <c r="L36" s="143" t="n">
        <f aca="false">VLOOKUP($A36,FlowCal,L$1,0)</f>
        <v>0.759</v>
      </c>
      <c r="M36" s="143" t="n">
        <f aca="false">VLOOKUP($A36,FlowCal,M$1,0)</f>
        <v>1.676</v>
      </c>
      <c r="N36" s="143" t="n">
        <f aca="false">VLOOKUP($A36,FlowCal,N$1,0)</f>
        <v>0.371</v>
      </c>
      <c r="O36" s="143" t="n">
        <f aca="false">VLOOKUP($A36,FlowCal,O$1,0)</f>
        <v>0.399</v>
      </c>
      <c r="P36" s="144" t="n">
        <f aca="false">VLOOKUP($A36,FlowCal,P$1,0)</f>
        <v>0.641</v>
      </c>
      <c r="Q36" s="4" t="n">
        <v>0.521</v>
      </c>
      <c r="S36" s="140" t="n">
        <f aca="false">P36-Q36</f>
        <v>0.12</v>
      </c>
    </row>
    <row r="37" customFormat="false" ht="15.75" hidden="false" customHeight="true" outlineLevel="0" collapsed="false">
      <c r="A37" s="141" t="s">
        <v>69</v>
      </c>
      <c r="B37" s="142" t="str">
        <f aca="false">VLOOKUP($A37,FlowCal,B$1,0)</f>
        <v>Nailed It A CDP</v>
      </c>
      <c r="C37" s="81" t="n">
        <f aca="false">VLOOKUP($A37,FlowCal,C$1,0)</f>
        <v>522485.52</v>
      </c>
      <c r="D37" s="81" t="n">
        <f aca="false">VLOOKUP($A37,FlowCal,D$1,0)</f>
        <v>668258.98</v>
      </c>
      <c r="E37" s="81" t="n">
        <f aca="false">VLOOKUP($A37,FlowCal,E$1,0)</f>
        <v>81.9916443128791</v>
      </c>
      <c r="F37" s="81" t="n">
        <f aca="false">VLOOKUP($A37,FlowCal,F$1,0)</f>
        <v>88.0177497623365</v>
      </c>
      <c r="G37" s="143" t="n">
        <f aca="false">VLOOKUP($A37,FlowCal,G$1,0)</f>
        <v>0.179</v>
      </c>
      <c r="H37" s="143" t="n">
        <f aca="false">VLOOKUP($A37,FlowCal,H$1,0)</f>
        <v>0.802</v>
      </c>
      <c r="I37" s="143" t="n">
        <f aca="false">VLOOKUP($A37,FlowCal,I$1,0)</f>
        <v>78.54</v>
      </c>
      <c r="J37" s="143" t="n">
        <f aca="false">VLOOKUP($A37,FlowCal,J$1,0)</f>
        <v>11.158</v>
      </c>
      <c r="K37" s="143" t="n">
        <f aca="false">VLOOKUP($A37,FlowCal,K$1,0)</f>
        <v>5.019</v>
      </c>
      <c r="L37" s="143" t="n">
        <f aca="false">VLOOKUP($A37,FlowCal,L$1,0)</f>
        <v>0.807</v>
      </c>
      <c r="M37" s="143" t="n">
        <f aca="false">VLOOKUP($A37,FlowCal,M$1,0)</f>
        <v>1.755</v>
      </c>
      <c r="N37" s="143" t="n">
        <f aca="false">VLOOKUP($A37,FlowCal,N$1,0)</f>
        <v>0.475</v>
      </c>
      <c r="O37" s="143" t="n">
        <f aca="false">VLOOKUP($A37,FlowCal,O$1,0)</f>
        <v>0.539</v>
      </c>
      <c r="P37" s="144" t="n">
        <f aca="false">VLOOKUP($A37,FlowCal,P$1,0)</f>
        <v>0.726</v>
      </c>
      <c r="Q37" s="4" t="n">
        <v>0.531</v>
      </c>
      <c r="S37" s="140" t="n">
        <f aca="false">P37-Q37</f>
        <v>0.195</v>
      </c>
    </row>
    <row r="38" customFormat="false" ht="15.75" hidden="false" customHeight="true" outlineLevel="0" collapsed="false">
      <c r="A38" s="141" t="s">
        <v>70</v>
      </c>
      <c r="B38" s="142" t="str">
        <f aca="false">VLOOKUP($A38,FlowCal,B$1,0)</f>
        <v>Bluto CDP</v>
      </c>
      <c r="C38" s="81" t="n">
        <f aca="false">VLOOKUP($A38,FlowCal,C$1,0)</f>
        <v>84015.9</v>
      </c>
      <c r="D38" s="81" t="n">
        <f aca="false">VLOOKUP($A38,FlowCal,D$1,0)</f>
        <v>103843.65</v>
      </c>
      <c r="E38" s="81" t="n">
        <f aca="false">VLOOKUP($A38,FlowCal,E$1,0)</f>
        <v>54.6667374019693</v>
      </c>
      <c r="F38" s="81" t="n">
        <f aca="false">VLOOKUP($A38,FlowCal,F$1,0)</f>
        <v>83.7578652637491</v>
      </c>
      <c r="G38" s="143" t="n">
        <f aca="false">VLOOKUP($A38,FlowCal,G$1,0)</f>
        <v>0.096</v>
      </c>
      <c r="H38" s="143" t="n">
        <f aca="false">VLOOKUP($A38,FlowCal,H$1,0)</f>
        <v>0.736</v>
      </c>
      <c r="I38" s="143" t="n">
        <f aca="false">VLOOKUP($A38,FlowCal,I$1,0)</f>
        <v>81.238</v>
      </c>
      <c r="J38" s="143" t="n">
        <f aca="false">VLOOKUP($A38,FlowCal,J$1,0)</f>
        <v>10.675</v>
      </c>
      <c r="K38" s="143" t="n">
        <f aca="false">VLOOKUP($A38,FlowCal,K$1,0)</f>
        <v>3.984</v>
      </c>
      <c r="L38" s="143" t="n">
        <f aca="false">VLOOKUP($A38,FlowCal,L$1,0)</f>
        <v>0.643</v>
      </c>
      <c r="M38" s="143" t="n">
        <f aca="false">VLOOKUP($A38,FlowCal,M$1,0)</f>
        <v>1.174</v>
      </c>
      <c r="N38" s="143" t="n">
        <f aca="false">VLOOKUP($A38,FlowCal,N$1,0)</f>
        <v>0.34</v>
      </c>
      <c r="O38" s="143" t="n">
        <f aca="false">VLOOKUP($A38,FlowCal,O$1,0)</f>
        <v>0.357</v>
      </c>
      <c r="P38" s="144" t="n">
        <f aca="false">VLOOKUP($A38,FlowCal,P$1,0)</f>
        <v>0.757</v>
      </c>
      <c r="Q38" s="4" t="n">
        <v>0.567</v>
      </c>
      <c r="S38" s="140" t="n">
        <f aca="false">P38-Q38</f>
        <v>0.19</v>
      </c>
    </row>
    <row r="39" customFormat="false" ht="15.75" hidden="false" customHeight="true" outlineLevel="0" collapsed="false">
      <c r="A39" s="141" t="s">
        <v>71</v>
      </c>
      <c r="B39" s="142" t="str">
        <f aca="false">VLOOKUP($A39,FlowCal,B$1,0)</f>
        <v>DF Ranch CDP</v>
      </c>
      <c r="C39" s="81" t="n">
        <f aca="false">VLOOKUP($A39,FlowCal,C$1,0)</f>
        <v>0</v>
      </c>
      <c r="D39" s="81" t="n">
        <f aca="false">VLOOKUP($A39,FlowCal,D$1,0)</f>
        <v>0</v>
      </c>
      <c r="E39" s="81" t="n">
        <f aca="false">VLOOKUP($A39,FlowCal,E$1,0)</f>
        <v>16.6846112499955</v>
      </c>
      <c r="F39" s="81" t="n">
        <f aca="false">VLOOKUP($A39,FlowCal,F$1,0)</f>
        <v>75.0433518040565</v>
      </c>
      <c r="G39" s="143" t="n">
        <f aca="false">VLOOKUP($A39,FlowCal,G$1,0)</f>
        <v>0.132</v>
      </c>
      <c r="H39" s="143" t="n">
        <f aca="false">VLOOKUP($A39,FlowCal,H$1,0)</f>
        <v>0.923000000000001</v>
      </c>
      <c r="I39" s="143" t="n">
        <f aca="false">VLOOKUP($A39,FlowCal,I$1,0)</f>
        <v>81.04</v>
      </c>
      <c r="J39" s="143" t="n">
        <f aca="false">VLOOKUP($A39,FlowCal,J$1,0)</f>
        <v>10.067</v>
      </c>
      <c r="K39" s="143" t="n">
        <f aca="false">VLOOKUP($A39,FlowCal,K$1,0)</f>
        <v>3.911</v>
      </c>
      <c r="L39" s="143" t="n">
        <f aca="false">VLOOKUP($A39,FlowCal,L$1,0)</f>
        <v>0.559</v>
      </c>
      <c r="M39" s="143" t="n">
        <f aca="false">VLOOKUP($A39,FlowCal,M$1,0)</f>
        <v>1.238</v>
      </c>
      <c r="N39" s="143" t="n">
        <f aca="false">VLOOKUP($A39,FlowCal,N$1,0)</f>
        <v>0.338</v>
      </c>
      <c r="O39" s="143" t="n">
        <f aca="false">VLOOKUP($A39,FlowCal,O$1,0)</f>
        <v>0.403</v>
      </c>
      <c r="P39" s="144" t="n">
        <f aca="false">VLOOKUP($A39,FlowCal,P$1,0)</f>
        <v>1.389</v>
      </c>
      <c r="Q39" s="4" t="n">
        <v>0.852</v>
      </c>
      <c r="S39" s="140" t="n">
        <f aca="false">P39-Q39</f>
        <v>0.537</v>
      </c>
    </row>
    <row r="40" customFormat="false" ht="15.75" hidden="false" customHeight="true" outlineLevel="0" collapsed="false">
      <c r="A40" s="141" t="s">
        <v>72</v>
      </c>
      <c r="B40" s="142" t="str">
        <f aca="false">VLOOKUP($A40,FlowCal,B$1,0)</f>
        <v>Quito CDP MTR #1</v>
      </c>
      <c r="C40" s="81" t="n">
        <f aca="false">VLOOKUP($A40,FlowCal,C$1,0)</f>
        <v>0</v>
      </c>
      <c r="D40" s="81" t="n">
        <f aca="false">VLOOKUP($A40,FlowCal,D$1,0)</f>
        <v>0</v>
      </c>
      <c r="E40" s="81" t="n">
        <f aca="false">VLOOKUP($A40,FlowCal,E$1,0)</f>
        <v>1072.10043367776</v>
      </c>
      <c r="F40" s="81" t="n">
        <f aca="false">VLOOKUP($A40,FlowCal,F$1,0)</f>
        <v>80.4026728855666</v>
      </c>
      <c r="G40" s="143" t="n">
        <f aca="false">VLOOKUP($A40,FlowCal,G$1,0)</f>
        <v>0.18</v>
      </c>
      <c r="H40" s="143" t="n">
        <f aca="false">VLOOKUP($A40,FlowCal,H$1,0)</f>
        <v>0.631</v>
      </c>
      <c r="I40" s="143" t="n">
        <f aca="false">VLOOKUP($A40,FlowCal,I$1,0)</f>
        <v>85.971</v>
      </c>
      <c r="J40" s="143" t="n">
        <f aca="false">VLOOKUP($A40,FlowCal,J$1,0)</f>
        <v>7.221</v>
      </c>
      <c r="K40" s="143" t="n">
        <f aca="false">VLOOKUP($A40,FlowCal,K$1,0)</f>
        <v>3.24</v>
      </c>
      <c r="L40" s="143" t="n">
        <f aca="false">VLOOKUP($A40,FlowCal,L$1,0)</f>
        <v>0.432</v>
      </c>
      <c r="M40" s="143" t="n">
        <f aca="false">VLOOKUP($A40,FlowCal,M$1,0)</f>
        <v>1.094</v>
      </c>
      <c r="N40" s="143" t="n">
        <f aca="false">VLOOKUP($A40,FlowCal,N$1,0)</f>
        <v>0.289</v>
      </c>
      <c r="O40" s="143" t="n">
        <f aca="false">VLOOKUP($A40,FlowCal,O$1,0)</f>
        <v>0.353</v>
      </c>
      <c r="P40" s="144" t="n">
        <f aca="false">VLOOKUP($A40,FlowCal,P$1,0)</f>
        <v>0.589</v>
      </c>
      <c r="Q40" s="4" t="n">
        <v>0.552</v>
      </c>
      <c r="S40" s="140" t="n">
        <f aca="false">P40-Q40</f>
        <v>0.0369999999999999</v>
      </c>
    </row>
    <row r="41" customFormat="false" ht="15.75" hidden="false" customHeight="true" outlineLevel="0" collapsed="false">
      <c r="A41" s="141" t="s">
        <v>73</v>
      </c>
      <c r="B41" s="142" t="str">
        <f aca="false">VLOOKUP($A41,FlowCal,B$1,0)</f>
        <v>Quito CDP MTR #2</v>
      </c>
      <c r="C41" s="81" t="n">
        <f aca="false">VLOOKUP($A41,FlowCal,C$1,0)</f>
        <v>374548.34</v>
      </c>
      <c r="D41" s="81" t="n">
        <f aca="false">VLOOKUP($A41,FlowCal,D$1,0)</f>
        <v>443090.69</v>
      </c>
      <c r="E41" s="81" t="n">
        <f aca="false">VLOOKUP($A41,FlowCal,E$1,0)</f>
        <v>1072.8447571181</v>
      </c>
      <c r="F41" s="81" t="n">
        <f aca="false">VLOOKUP($A41,FlowCal,F$1,0)</f>
        <v>87.6964028917184</v>
      </c>
      <c r="G41" s="143" t="n">
        <f aca="false">VLOOKUP($A41,FlowCal,G$1,0)</f>
        <v>0.18</v>
      </c>
      <c r="H41" s="143" t="n">
        <f aca="false">VLOOKUP($A41,FlowCal,H$1,0)</f>
        <v>0.631</v>
      </c>
      <c r="I41" s="143" t="n">
        <f aca="false">VLOOKUP($A41,FlowCal,I$1,0)</f>
        <v>85.971</v>
      </c>
      <c r="J41" s="143" t="n">
        <f aca="false">VLOOKUP($A41,FlowCal,J$1,0)</f>
        <v>7.221</v>
      </c>
      <c r="K41" s="143" t="n">
        <f aca="false">VLOOKUP($A41,FlowCal,K$1,0)</f>
        <v>3.24</v>
      </c>
      <c r="L41" s="143" t="n">
        <f aca="false">VLOOKUP($A41,FlowCal,L$1,0)</f>
        <v>0.432</v>
      </c>
      <c r="M41" s="143" t="n">
        <f aca="false">VLOOKUP($A41,FlowCal,M$1,0)</f>
        <v>1.094</v>
      </c>
      <c r="N41" s="143" t="n">
        <f aca="false">VLOOKUP($A41,FlowCal,N$1,0)</f>
        <v>0.289</v>
      </c>
      <c r="O41" s="143" t="n">
        <f aca="false">VLOOKUP($A41,FlowCal,O$1,0)</f>
        <v>0.353</v>
      </c>
      <c r="P41" s="144" t="n">
        <f aca="false">VLOOKUP($A41,FlowCal,P$1,0)</f>
        <v>0.589</v>
      </c>
      <c r="Q41" s="4" t="n">
        <v>0.552</v>
      </c>
      <c r="S41" s="140" t="n">
        <f aca="false">P41-Q41</f>
        <v>0.0369999999999999</v>
      </c>
    </row>
    <row r="42" customFormat="false" ht="15.75" hidden="false" customHeight="true" outlineLevel="0" collapsed="false">
      <c r="A42" s="141" t="s">
        <v>74</v>
      </c>
      <c r="B42" s="142" t="str">
        <f aca="false">VLOOKUP($A42,FlowCal,B$1,0)</f>
        <v>Brazos CDP</v>
      </c>
      <c r="C42" s="81" t="n">
        <f aca="false">VLOOKUP($A42,FlowCal,C$1,0)</f>
        <v>70367.31</v>
      </c>
      <c r="D42" s="81" t="n">
        <f aca="false">VLOOKUP($A42,FlowCal,D$1,0)</f>
        <v>85355.54</v>
      </c>
      <c r="E42" s="81" t="n">
        <f aca="false">VLOOKUP($A42,FlowCal,E$1,0)</f>
        <v>973.057708345714</v>
      </c>
      <c r="F42" s="81" t="n">
        <f aca="false">VLOOKUP($A42,FlowCal,F$1,0)</f>
        <v>91.995710297439</v>
      </c>
      <c r="G42" s="143" t="n">
        <f aca="false">VLOOKUP($A42,FlowCal,G$1,0)</f>
        <v>0.419</v>
      </c>
      <c r="H42" s="143" t="n">
        <f aca="false">VLOOKUP($A42,FlowCal,H$1,0)</f>
        <v>0.77</v>
      </c>
      <c r="I42" s="143" t="n">
        <f aca="false">VLOOKUP($A42,FlowCal,I$1,0)</f>
        <v>82.547</v>
      </c>
      <c r="J42" s="143" t="n">
        <f aca="false">VLOOKUP($A42,FlowCal,J$1,0)</f>
        <v>8.933</v>
      </c>
      <c r="K42" s="143" t="n">
        <f aca="false">VLOOKUP($A42,FlowCal,K$1,0)</f>
        <v>4.244</v>
      </c>
      <c r="L42" s="143" t="n">
        <f aca="false">VLOOKUP($A42,FlowCal,L$1,0)</f>
        <v>0.497</v>
      </c>
      <c r="M42" s="143" t="n">
        <f aca="false">VLOOKUP($A42,FlowCal,M$1,0)</f>
        <v>1.429</v>
      </c>
      <c r="N42" s="143" t="n">
        <f aca="false">VLOOKUP($A42,FlowCal,N$1,0)</f>
        <v>0.306</v>
      </c>
      <c r="O42" s="143" t="n">
        <f aca="false">VLOOKUP($A42,FlowCal,O$1,0)</f>
        <v>0.393</v>
      </c>
      <c r="P42" s="144" t="n">
        <f aca="false">VLOOKUP($A42,FlowCal,P$1,0)</f>
        <v>0.462</v>
      </c>
      <c r="Q42" s="4" t="n">
        <v>0.346</v>
      </c>
      <c r="S42" s="140" t="n">
        <f aca="false">P42-Q42</f>
        <v>0.116</v>
      </c>
    </row>
    <row r="43" customFormat="false" ht="15.75" hidden="false" customHeight="true" outlineLevel="0" collapsed="false">
      <c r="A43" s="141" t="s">
        <v>75</v>
      </c>
      <c r="B43" s="142" t="str">
        <f aca="false">VLOOKUP($A43,FlowCal,B$1,0)</f>
        <v>Abigail CDP</v>
      </c>
      <c r="C43" s="81" t="n">
        <f aca="false">VLOOKUP($A43,FlowCal,C$1,0)</f>
        <v>24409.81</v>
      </c>
      <c r="D43" s="81" t="n">
        <f aca="false">VLOOKUP($A43,FlowCal,D$1,0)</f>
        <v>29755.56</v>
      </c>
      <c r="E43" s="81" t="n">
        <f aca="false">VLOOKUP($A43,FlowCal,E$1,0)</f>
        <v>51.0619260629611</v>
      </c>
      <c r="F43" s="81" t="n">
        <f aca="false">VLOOKUP($A43,FlowCal,F$1,0)</f>
        <v>82.8667216876883</v>
      </c>
      <c r="G43" s="143" t="n">
        <f aca="false">VLOOKUP($A43,FlowCal,G$1,0)</f>
        <v>0.226</v>
      </c>
      <c r="H43" s="143" t="n">
        <f aca="false">VLOOKUP($A43,FlowCal,H$1,0)</f>
        <v>0.596</v>
      </c>
      <c r="I43" s="143" t="n">
        <f aca="false">VLOOKUP($A43,FlowCal,I$1,0)</f>
        <v>84.175</v>
      </c>
      <c r="J43" s="143" t="n">
        <f aca="false">VLOOKUP($A43,FlowCal,J$1,0)</f>
        <v>7.74</v>
      </c>
      <c r="K43" s="143" t="n">
        <f aca="false">VLOOKUP($A43,FlowCal,K$1,0)</f>
        <v>3.77</v>
      </c>
      <c r="L43" s="143" t="n">
        <f aca="false">VLOOKUP($A43,FlowCal,L$1,0)</f>
        <v>0.51</v>
      </c>
      <c r="M43" s="143" t="n">
        <f aca="false">VLOOKUP($A43,FlowCal,M$1,0)</f>
        <v>1.289</v>
      </c>
      <c r="N43" s="143" t="n">
        <f aca="false">VLOOKUP($A43,FlowCal,N$1,0)</f>
        <v>0.342</v>
      </c>
      <c r="O43" s="143" t="n">
        <f aca="false">VLOOKUP($A43,FlowCal,O$1,0)</f>
        <v>0.414</v>
      </c>
      <c r="P43" s="144" t="n">
        <f aca="false">VLOOKUP($A43,FlowCal,P$1,0)</f>
        <v>0.938</v>
      </c>
      <c r="Q43" s="4" t="n">
        <v>0.884</v>
      </c>
      <c r="S43" s="140" t="n">
        <f aca="false">P43-Q43</f>
        <v>0.0540000000000001</v>
      </c>
    </row>
    <row r="44" customFormat="false" ht="15.75" hidden="false" customHeight="true" outlineLevel="0" collapsed="false">
      <c r="A44" s="141" t="s">
        <v>76</v>
      </c>
      <c r="B44" s="142" t="str">
        <f aca="false">VLOOKUP($A44,FlowCal,B$1,0)</f>
        <v>Emma CDP</v>
      </c>
      <c r="C44" s="81" t="n">
        <f aca="false">VLOOKUP($A44,FlowCal,C$1,0)</f>
        <v>45054.18</v>
      </c>
      <c r="D44" s="81" t="n">
        <f aca="false">VLOOKUP($A44,FlowCal,D$1,0)</f>
        <v>55281.48</v>
      </c>
      <c r="E44" s="81" t="n">
        <f aca="false">VLOOKUP($A44,FlowCal,E$1,0)</f>
        <v>49.5570783675895</v>
      </c>
      <c r="F44" s="81" t="n">
        <f aca="false">VLOOKUP($A44,FlowCal,F$1,0)</f>
        <v>85.566671841253</v>
      </c>
      <c r="G44" s="143" t="n">
        <f aca="false">VLOOKUP($A44,FlowCal,G$1,0)</f>
        <v>0.121</v>
      </c>
      <c r="H44" s="143" t="n">
        <f aca="false">VLOOKUP($A44,FlowCal,H$1,0)</f>
        <v>0.673</v>
      </c>
      <c r="I44" s="143" t="n">
        <f aca="false">VLOOKUP($A44,FlowCal,I$1,0)</f>
        <v>84.205</v>
      </c>
      <c r="J44" s="143" t="n">
        <f aca="false">VLOOKUP($A44,FlowCal,J$1,0)</f>
        <v>7.615</v>
      </c>
      <c r="K44" s="143" t="n">
        <f aca="false">VLOOKUP($A44,FlowCal,K$1,0)</f>
        <v>3.665</v>
      </c>
      <c r="L44" s="143" t="n">
        <f aca="false">VLOOKUP($A44,FlowCal,L$1,0)</f>
        <v>0.5</v>
      </c>
      <c r="M44" s="143" t="n">
        <f aca="false">VLOOKUP($A44,FlowCal,M$1,0)</f>
        <v>1.279</v>
      </c>
      <c r="N44" s="143" t="n">
        <f aca="false">VLOOKUP($A44,FlowCal,N$1,0)</f>
        <v>0.353</v>
      </c>
      <c r="O44" s="143" t="n">
        <f aca="false">VLOOKUP($A44,FlowCal,O$1,0)</f>
        <v>0.431</v>
      </c>
      <c r="P44" s="144" t="n">
        <f aca="false">VLOOKUP($A44,FlowCal,P$1,0)</f>
        <v>1.158</v>
      </c>
      <c r="Q44" s="4" t="n">
        <v>1.122</v>
      </c>
      <c r="S44" s="140" t="n">
        <f aca="false">P44-Q44</f>
        <v>0.036</v>
      </c>
    </row>
    <row r="45" customFormat="false" ht="15.75" hidden="false" customHeight="true" outlineLevel="0" collapsed="false">
      <c r="A45" s="141" t="s">
        <v>77</v>
      </c>
      <c r="B45" s="142" t="str">
        <f aca="false">VLOOKUP($A45,FlowCal,B$1,0)</f>
        <v>Crestwood CDP</v>
      </c>
      <c r="C45" s="81" t="n">
        <f aca="false">VLOOKUP($A45,FlowCal,C$1,0)</f>
        <v>300611.73</v>
      </c>
      <c r="D45" s="81" t="n">
        <f aca="false">VLOOKUP($A45,FlowCal,D$1,0)</f>
        <v>365543.87</v>
      </c>
      <c r="E45" s="81" t="n">
        <f aca="false">VLOOKUP($A45,FlowCal,E$1,0)</f>
        <v>1081.55375682149</v>
      </c>
      <c r="F45" s="81" t="n">
        <f aca="false">VLOOKUP($A45,FlowCal,F$1,0)</f>
        <v>103.890276618182</v>
      </c>
      <c r="G45" s="143" t="n">
        <f aca="false">VLOOKUP($A45,FlowCal,G$1,0)</f>
        <v>0.182</v>
      </c>
      <c r="H45" s="143" t="n">
        <f aca="false">VLOOKUP($A45,FlowCal,H$1,0)</f>
        <v>0.667</v>
      </c>
      <c r="I45" s="143" t="n">
        <f aca="false">VLOOKUP($A45,FlowCal,I$1,0)</f>
        <v>84.115</v>
      </c>
      <c r="J45" s="143" t="n">
        <f aca="false">VLOOKUP($A45,FlowCal,J$1,0)</f>
        <v>7.703</v>
      </c>
      <c r="K45" s="143" t="n">
        <f aca="false">VLOOKUP($A45,FlowCal,K$1,0)</f>
        <v>3.801</v>
      </c>
      <c r="L45" s="143" t="n">
        <f aca="false">VLOOKUP($A45,FlowCal,L$1,0)</f>
        <v>0.53</v>
      </c>
      <c r="M45" s="143" t="n">
        <f aca="false">VLOOKUP($A45,FlowCal,M$1,0)</f>
        <v>1.449</v>
      </c>
      <c r="N45" s="143" t="n">
        <f aca="false">VLOOKUP($A45,FlowCal,N$1,0)</f>
        <v>0.406</v>
      </c>
      <c r="O45" s="143" t="n">
        <f aca="false">VLOOKUP($A45,FlowCal,O$1,0)</f>
        <v>0.511</v>
      </c>
      <c r="P45" s="144" t="n">
        <f aca="false">VLOOKUP($A45,FlowCal,P$1,0)</f>
        <v>0.636</v>
      </c>
      <c r="Q45" s="4" t="n">
        <v>0.677</v>
      </c>
      <c r="S45" s="140" t="n">
        <f aca="false">P45-Q45</f>
        <v>-0.041</v>
      </c>
    </row>
    <row r="46" customFormat="false" ht="15.75" hidden="false" customHeight="true" outlineLevel="0" collapsed="false">
      <c r="A46" s="141" t="s">
        <v>78</v>
      </c>
      <c r="B46" s="142" t="str">
        <f aca="false">VLOOKUP($A46,FlowCal,B$1,0)</f>
        <v>Jim Ed CDP</v>
      </c>
      <c r="C46" s="81" t="n">
        <f aca="false">VLOOKUP($A46,FlowCal,C$1,0)</f>
        <v>187564.33</v>
      </c>
      <c r="D46" s="81" t="n">
        <f aca="false">VLOOKUP($A46,FlowCal,D$1,0)</f>
        <v>235768.36</v>
      </c>
      <c r="E46" s="81" t="n">
        <f aca="false">VLOOKUP($A46,FlowCal,E$1,0)</f>
        <v>1010.776796584</v>
      </c>
      <c r="F46" s="81" t="n">
        <f aca="false">VLOOKUP($A46,FlowCal,F$1,0)</f>
        <v>85.8545616006886</v>
      </c>
      <c r="G46" s="143" t="n">
        <f aca="false">VLOOKUP($A46,FlowCal,G$1,0)</f>
        <v>0.412</v>
      </c>
      <c r="H46" s="143" t="n">
        <f aca="false">VLOOKUP($A46,FlowCal,H$1,0)</f>
        <v>1.991</v>
      </c>
      <c r="I46" s="143" t="n">
        <f aca="false">VLOOKUP($A46,FlowCal,I$1,0)</f>
        <v>79.423</v>
      </c>
      <c r="J46" s="143" t="n">
        <f aca="false">VLOOKUP($A46,FlowCal,J$1,0)</f>
        <v>8.872</v>
      </c>
      <c r="K46" s="143" t="n">
        <f aca="false">VLOOKUP($A46,FlowCal,K$1,0)</f>
        <v>4.711</v>
      </c>
      <c r="L46" s="143" t="n">
        <f aca="false">VLOOKUP($A46,FlowCal,L$1,0)</f>
        <v>0.606</v>
      </c>
      <c r="M46" s="143" t="n">
        <f aca="false">VLOOKUP($A46,FlowCal,M$1,0)</f>
        <v>1.747</v>
      </c>
      <c r="N46" s="143" t="n">
        <f aca="false">VLOOKUP($A46,FlowCal,N$1,0)</f>
        <v>0.53</v>
      </c>
      <c r="O46" s="143" t="n">
        <f aca="false">VLOOKUP($A46,FlowCal,O$1,0)</f>
        <v>0.577</v>
      </c>
      <c r="P46" s="144" t="n">
        <f aca="false">VLOOKUP($A46,FlowCal,P$1,0)</f>
        <v>1.131</v>
      </c>
      <c r="Q46" s="4" t="n">
        <v>0.49</v>
      </c>
      <c r="S46" s="140" t="n">
        <f aca="false">P46-Q46</f>
        <v>0.641</v>
      </c>
    </row>
    <row r="47" customFormat="false" ht="15.75" hidden="false" customHeight="true" outlineLevel="0" collapsed="false">
      <c r="A47" s="141" t="s">
        <v>79</v>
      </c>
      <c r="B47" s="142" t="str">
        <f aca="false">VLOOKUP($A47,FlowCal,B$1,0)</f>
        <v>Parker CDP</v>
      </c>
      <c r="C47" s="81" t="n">
        <f aca="false">VLOOKUP($A47,FlowCal,C$1,0)</f>
        <v>425503.15</v>
      </c>
      <c r="D47" s="81" t="n">
        <f aca="false">VLOOKUP($A47,FlowCal,D$1,0)</f>
        <v>574003.75</v>
      </c>
      <c r="E47" s="81" t="n">
        <f aca="false">VLOOKUP($A47,FlowCal,E$1,0)</f>
        <v>1078.86716495236</v>
      </c>
      <c r="F47" s="81" t="n">
        <f aca="false">VLOOKUP($A47,FlowCal,F$1,0)</f>
        <v>102.10348821627</v>
      </c>
      <c r="G47" s="143" t="n">
        <f aca="false">VLOOKUP($A47,FlowCal,G$1,0)</f>
        <v>0.714</v>
      </c>
      <c r="H47" s="143" t="n">
        <f aca="false">VLOOKUP($A47,FlowCal,H$1,0)</f>
        <v>1.323</v>
      </c>
      <c r="I47" s="143" t="n">
        <f aca="false">VLOOKUP($A47,FlowCal,I$1,0)</f>
        <v>71.66</v>
      </c>
      <c r="J47" s="143" t="n">
        <f aca="false">VLOOKUP($A47,FlowCal,J$1,0)</f>
        <v>12.662</v>
      </c>
      <c r="K47" s="143" t="n">
        <f aca="false">VLOOKUP($A47,FlowCal,K$1,0)</f>
        <v>8.253</v>
      </c>
      <c r="L47" s="143" t="n">
        <f aca="false">VLOOKUP($A47,FlowCal,L$1,0)</f>
        <v>0.986</v>
      </c>
      <c r="M47" s="143" t="n">
        <f aca="false">VLOOKUP($A47,FlowCal,M$1,0)</f>
        <v>2.889</v>
      </c>
      <c r="N47" s="143" t="n">
        <f aca="false">VLOOKUP($A47,FlowCal,N$1,0)</f>
        <v>0.538</v>
      </c>
      <c r="O47" s="143" t="n">
        <f aca="false">VLOOKUP($A47,FlowCal,O$1,0)</f>
        <v>0.574</v>
      </c>
      <c r="P47" s="144" t="n">
        <f aca="false">VLOOKUP($A47,FlowCal,P$1,0)</f>
        <v>0.401</v>
      </c>
      <c r="Q47" s="4" t="n">
        <v>0.228</v>
      </c>
      <c r="S47" s="140" t="n">
        <f aca="false">P47-Q47</f>
        <v>0.173</v>
      </c>
    </row>
    <row r="48" customFormat="false" ht="15.75" hidden="false" customHeight="true" outlineLevel="0" collapsed="false">
      <c r="A48" s="141" t="s">
        <v>80</v>
      </c>
      <c r="B48" s="142" t="str">
        <f aca="false">VLOOKUP($A48,FlowCal,B$1,0)</f>
        <v>Parker 2 CDP</v>
      </c>
      <c r="C48" s="81" t="n">
        <f aca="false">VLOOKUP($A48,FlowCal,C$1,0)</f>
        <v>0</v>
      </c>
      <c r="D48" s="81" t="n">
        <f aca="false">VLOOKUP($A48,FlowCal,D$1,0)</f>
        <v>0</v>
      </c>
      <c r="E48" s="81" t="n">
        <f aca="false">VLOOKUP($A48,FlowCal,E$1,0)</f>
        <v>13.0581845275817</v>
      </c>
      <c r="F48" s="81" t="n">
        <f aca="false">VLOOKUP($A48,FlowCal,F$1,0)</f>
        <v>79.8914801741159</v>
      </c>
      <c r="G48" s="143" t="n">
        <f aca="false">VLOOKUP($A48,FlowCal,G$1,0)</f>
        <v>0</v>
      </c>
      <c r="H48" s="143" t="n">
        <f aca="false">VLOOKUP($A48,FlowCal,H$1,0)</f>
        <v>0</v>
      </c>
      <c r="I48" s="143" t="n">
        <f aca="false">VLOOKUP($A48,FlowCal,I$1,0)</f>
        <v>100</v>
      </c>
      <c r="J48" s="143" t="n">
        <f aca="false">VLOOKUP($A48,FlowCal,J$1,0)</f>
        <v>0</v>
      </c>
      <c r="K48" s="143" t="n">
        <f aca="false">VLOOKUP($A48,FlowCal,K$1,0)</f>
        <v>0</v>
      </c>
      <c r="L48" s="143" t="n">
        <f aca="false">VLOOKUP($A48,FlowCal,L$1,0)</f>
        <v>0</v>
      </c>
      <c r="M48" s="143" t="n">
        <f aca="false">VLOOKUP($A48,FlowCal,M$1,0)</f>
        <v>0</v>
      </c>
      <c r="N48" s="143" t="n">
        <f aca="false">VLOOKUP($A48,FlowCal,N$1,0)</f>
        <v>0</v>
      </c>
      <c r="O48" s="143" t="n">
        <f aca="false">VLOOKUP($A48,FlowCal,O$1,0)</f>
        <v>0</v>
      </c>
      <c r="P48" s="144" t="n">
        <f aca="false">VLOOKUP($A48,FlowCal,P$1,0)</f>
        <v>0</v>
      </c>
      <c r="Q48" s="4" t="n">
        <v>0</v>
      </c>
      <c r="S48" s="140" t="n">
        <f aca="false">P48-Q48</f>
        <v>0</v>
      </c>
    </row>
    <row r="49" customFormat="false" ht="15.75" hidden="false" customHeight="true" outlineLevel="0" collapsed="false">
      <c r="A49" s="141" t="s">
        <v>14</v>
      </c>
      <c r="B49" s="142" t="str">
        <f aca="false">VLOOKUP($A49,FlowCal,B$1,0)</f>
        <v>Rock Ridge Federal CDP</v>
      </c>
      <c r="C49" s="81" t="n">
        <f aca="false">VLOOKUP($A49,FlowCal,C$1,0)</f>
        <v>226763.72</v>
      </c>
      <c r="D49" s="81" t="n">
        <f aca="false">VLOOKUP($A49,FlowCal,D$1,0)</f>
        <v>279599.66</v>
      </c>
      <c r="E49" s="81" t="n">
        <f aca="false">VLOOKUP($A49,FlowCal,E$1,0)</f>
        <v>76.7475360866855</v>
      </c>
      <c r="F49" s="81" t="n">
        <f aca="false">VLOOKUP($A49,FlowCal,F$1,0)</f>
        <v>81.8026421480001</v>
      </c>
      <c r="G49" s="143" t="n">
        <f aca="false">VLOOKUP($A49,FlowCal,G$1,0)</f>
        <v>1.455</v>
      </c>
      <c r="H49" s="143" t="n">
        <f aca="false">VLOOKUP($A49,FlowCal,H$1,0)</f>
        <v>1.173</v>
      </c>
      <c r="I49" s="143" t="n">
        <f aca="false">VLOOKUP($A49,FlowCal,I$1,0)</f>
        <v>78.171</v>
      </c>
      <c r="J49" s="143" t="n">
        <f aca="false">VLOOKUP($A49,FlowCal,J$1,0)</f>
        <v>10.944</v>
      </c>
      <c r="K49" s="143" t="n">
        <f aca="false">VLOOKUP($A49,FlowCal,K$1,0)</f>
        <v>4.824</v>
      </c>
      <c r="L49" s="143" t="n">
        <f aca="false">VLOOKUP($A49,FlowCal,L$1,0)</f>
        <v>0.675</v>
      </c>
      <c r="M49" s="143" t="n">
        <f aca="false">VLOOKUP($A49,FlowCal,M$1,0)</f>
        <v>1.477</v>
      </c>
      <c r="N49" s="143" t="n">
        <f aca="false">VLOOKUP($A49,FlowCal,N$1,0)</f>
        <v>0.355</v>
      </c>
      <c r="O49" s="143" t="n">
        <f aca="false">VLOOKUP($A49,FlowCal,O$1,0)</f>
        <v>0.375</v>
      </c>
      <c r="P49" s="144" t="n">
        <f aca="false">VLOOKUP($A49,FlowCal,P$1,0)</f>
        <v>0.551</v>
      </c>
      <c r="Q49" s="4" t="n">
        <v>1.692</v>
      </c>
      <c r="S49" s="140" t="n">
        <f aca="false">P49-Q49</f>
        <v>-1.141</v>
      </c>
    </row>
    <row r="50" customFormat="false" ht="15.75" hidden="false" customHeight="true" outlineLevel="0" collapsed="false">
      <c r="A50" s="141" t="s">
        <v>81</v>
      </c>
      <c r="B50" s="142" t="str">
        <f aca="false">VLOOKUP($A50,FlowCal,B$1,0)</f>
        <v>Roy CDP</v>
      </c>
      <c r="C50" s="81" t="n">
        <f aca="false">VLOOKUP($A50,FlowCal,C$1,0)</f>
        <v>51042.07</v>
      </c>
      <c r="D50" s="81" t="n">
        <f aca="false">VLOOKUP($A50,FlowCal,D$1,0)</f>
        <v>72326.62</v>
      </c>
      <c r="E50" s="81" t="n">
        <f aca="false">VLOOKUP($A50,FlowCal,E$1,0)</f>
        <v>60.0657130651393</v>
      </c>
      <c r="F50" s="81" t="n">
        <f aca="false">VLOOKUP($A50,FlowCal,F$1,0)</f>
        <v>86.4286313256076</v>
      </c>
      <c r="G50" s="143" t="n">
        <f aca="false">VLOOKUP($A50,FlowCal,G$1,0)</f>
        <v>0.35</v>
      </c>
      <c r="H50" s="143" t="n">
        <f aca="false">VLOOKUP($A50,FlowCal,H$1,0)</f>
        <v>1.262</v>
      </c>
      <c r="I50" s="143" t="n">
        <f aca="false">VLOOKUP($A50,FlowCal,I$1,0)</f>
        <v>69.271</v>
      </c>
      <c r="J50" s="143" t="n">
        <f aca="false">VLOOKUP($A50,FlowCal,J$1,0)</f>
        <v>13.537</v>
      </c>
      <c r="K50" s="143" t="n">
        <f aca="false">VLOOKUP($A50,FlowCal,K$1,0)</f>
        <v>8.904</v>
      </c>
      <c r="L50" s="143" t="n">
        <f aca="false">VLOOKUP($A50,FlowCal,L$1,0)</f>
        <v>0.965</v>
      </c>
      <c r="M50" s="143" t="n">
        <f aca="false">VLOOKUP($A50,FlowCal,M$1,0)</f>
        <v>3.087</v>
      </c>
      <c r="N50" s="143" t="n">
        <f aca="false">VLOOKUP($A50,FlowCal,N$1,0)</f>
        <v>0.627</v>
      </c>
      <c r="O50" s="143" t="n">
        <f aca="false">VLOOKUP($A50,FlowCal,O$1,0)</f>
        <v>0.732</v>
      </c>
      <c r="P50" s="144" t="n">
        <f aca="false">VLOOKUP($A50,FlowCal,P$1,0)</f>
        <v>1.265</v>
      </c>
      <c r="Q50" s="4" t="n">
        <v>0.744</v>
      </c>
      <c r="S50" s="140" t="n">
        <f aca="false">P50-Q50</f>
        <v>0.521</v>
      </c>
    </row>
    <row r="51" customFormat="false" ht="15.75" hidden="false" customHeight="true" outlineLevel="0" collapsed="false">
      <c r="A51" s="141" t="s">
        <v>15</v>
      </c>
      <c r="B51" s="142" t="str">
        <f aca="false">VLOOKUP($A51,FlowCal,B$1,0)</f>
        <v>Flat Head CDP</v>
      </c>
      <c r="C51" s="81" t="n">
        <f aca="false">VLOOKUP($A51,FlowCal,C$1,0)</f>
        <v>23172.18</v>
      </c>
      <c r="D51" s="81" t="n">
        <f aca="false">VLOOKUP($A51,FlowCal,D$1,0)</f>
        <v>35036.33</v>
      </c>
      <c r="E51" s="81" t="n">
        <f aca="false">VLOOKUP($A51,FlowCal,E$1,0)</f>
        <v>63.8645241642939</v>
      </c>
      <c r="F51" s="81" t="n">
        <f aca="false">VLOOKUP($A51,FlowCal,F$1,0)</f>
        <v>90.353664943909</v>
      </c>
      <c r="G51" s="143" t="n">
        <f aca="false">VLOOKUP($A51,FlowCal,G$1,0)</f>
        <v>0.386</v>
      </c>
      <c r="H51" s="143" t="n">
        <f aca="false">VLOOKUP($A51,FlowCal,H$1,0)</f>
        <v>1.243</v>
      </c>
      <c r="I51" s="143" t="n">
        <f aca="false">VLOOKUP($A51,FlowCal,I$1,0)</f>
        <v>66.996</v>
      </c>
      <c r="J51" s="143" t="n">
        <f aca="false">VLOOKUP($A51,FlowCal,J$1,0)</f>
        <v>12.796</v>
      </c>
      <c r="K51" s="143" t="n">
        <f aca="false">VLOOKUP($A51,FlowCal,K$1,0)</f>
        <v>9.021</v>
      </c>
      <c r="L51" s="143" t="n">
        <f aca="false">VLOOKUP($A51,FlowCal,L$1,0)</f>
        <v>1.124</v>
      </c>
      <c r="M51" s="143" t="n">
        <f aca="false">VLOOKUP($A51,FlowCal,M$1,0)</f>
        <v>3.668</v>
      </c>
      <c r="N51" s="143" t="n">
        <f aca="false">VLOOKUP($A51,FlowCal,N$1,0)</f>
        <v>0.902</v>
      </c>
      <c r="O51" s="143" t="n">
        <f aca="false">VLOOKUP($A51,FlowCal,O$1,0)</f>
        <v>1.16</v>
      </c>
      <c r="P51" s="144" t="n">
        <f aca="false">VLOOKUP($A51,FlowCal,P$1,0)</f>
        <v>2.704</v>
      </c>
      <c r="Q51" s="4" t="n">
        <v>1.54</v>
      </c>
      <c r="S51" s="140" t="n">
        <f aca="false">P51-Q51</f>
        <v>1.164</v>
      </c>
    </row>
    <row r="52" customFormat="false" ht="15.75" hidden="false" customHeight="true" outlineLevel="0" collapsed="false">
      <c r="A52" s="141" t="s">
        <v>82</v>
      </c>
      <c r="B52" s="142" t="str">
        <f aca="false">VLOOKUP($A52,FlowCal,B$1,0)</f>
        <v>Jeff East CDP</v>
      </c>
      <c r="C52" s="81" t="n">
        <f aca="false">VLOOKUP($A52,FlowCal,C$1,0)</f>
        <v>164470.78</v>
      </c>
      <c r="D52" s="81" t="n">
        <f aca="false">VLOOKUP($A52,FlowCal,D$1,0)</f>
        <v>231081.44</v>
      </c>
      <c r="E52" s="81" t="n">
        <f aca="false">VLOOKUP($A52,FlowCal,E$1,0)</f>
        <v>65.9651908970752</v>
      </c>
      <c r="F52" s="81" t="n">
        <f aca="false">VLOOKUP($A52,FlowCal,F$1,0)</f>
        <v>102.01060011026</v>
      </c>
      <c r="G52" s="143" t="n">
        <f aca="false">VLOOKUP($A52,FlowCal,G$1,0)</f>
        <v>0.452</v>
      </c>
      <c r="H52" s="143" t="n">
        <f aca="false">VLOOKUP($A52,FlowCal,H$1,0)</f>
        <v>1.557</v>
      </c>
      <c r="I52" s="143" t="n">
        <f aca="false">VLOOKUP($A52,FlowCal,I$1,0)</f>
        <v>68.605</v>
      </c>
      <c r="J52" s="143" t="n">
        <f aca="false">VLOOKUP($A52,FlowCal,J$1,0)</f>
        <v>13.605</v>
      </c>
      <c r="K52" s="143" t="n">
        <f aca="false">VLOOKUP($A52,FlowCal,K$1,0)</f>
        <v>9.30300000000001</v>
      </c>
      <c r="L52" s="143" t="n">
        <f aca="false">VLOOKUP($A52,FlowCal,L$1,0)</f>
        <v>1.09</v>
      </c>
      <c r="M52" s="143" t="n">
        <f aca="false">VLOOKUP($A52,FlowCal,M$1,0)</f>
        <v>3.269</v>
      </c>
      <c r="N52" s="143" t="n">
        <f aca="false">VLOOKUP($A52,FlowCal,N$1,0)</f>
        <v>0.677</v>
      </c>
      <c r="O52" s="143" t="n">
        <f aca="false">VLOOKUP($A52,FlowCal,O$1,0)</f>
        <v>0.726</v>
      </c>
      <c r="P52" s="144" t="n">
        <f aca="false">VLOOKUP($A52,FlowCal,P$1,0)</f>
        <v>0.716</v>
      </c>
      <c r="Q52" s="4" t="n">
        <v>0.825</v>
      </c>
      <c r="S52" s="140" t="n">
        <f aca="false">P52-Q52</f>
        <v>-0.109</v>
      </c>
    </row>
    <row r="53" customFormat="false" ht="15.75" hidden="false" customHeight="true" outlineLevel="0" collapsed="false">
      <c r="A53" s="141" t="s">
        <v>83</v>
      </c>
      <c r="B53" s="142" t="str">
        <f aca="false">VLOOKUP($A53,FlowCal,B$1,0)</f>
        <v>Gillette CDP</v>
      </c>
      <c r="C53" s="81" t="n">
        <f aca="false">VLOOKUP($A53,FlowCal,C$1,0)</f>
        <v>17299.87</v>
      </c>
      <c r="D53" s="81" t="n">
        <f aca="false">VLOOKUP($A53,FlowCal,D$1,0)</f>
        <v>23960.32</v>
      </c>
      <c r="E53" s="81" t="n">
        <f aca="false">VLOOKUP($A53,FlowCal,E$1,0)</f>
        <v>66.6407443036375</v>
      </c>
      <c r="F53" s="81" t="n">
        <f aca="false">VLOOKUP($A53,FlowCal,F$1,0)</f>
        <v>80.2689928116755</v>
      </c>
      <c r="G53" s="143" t="n">
        <f aca="false">VLOOKUP($A53,FlowCal,G$1,0)</f>
        <v>0.67</v>
      </c>
      <c r="H53" s="143" t="n">
        <f aca="false">VLOOKUP($A53,FlowCal,H$1,0)</f>
        <v>1.207</v>
      </c>
      <c r="I53" s="143" t="n">
        <f aca="false">VLOOKUP($A53,FlowCal,I$1,0)</f>
        <v>69.703</v>
      </c>
      <c r="J53" s="143" t="n">
        <f aca="false">VLOOKUP($A53,FlowCal,J$1,0)</f>
        <v>13.688</v>
      </c>
      <c r="K53" s="143" t="n">
        <f aca="false">VLOOKUP($A53,FlowCal,K$1,0)</f>
        <v>8.957</v>
      </c>
      <c r="L53" s="143" t="n">
        <f aca="false">VLOOKUP($A53,FlowCal,L$1,0)</f>
        <v>0.956</v>
      </c>
      <c r="M53" s="143" t="n">
        <f aca="false">VLOOKUP($A53,FlowCal,M$1,0)</f>
        <v>2.885</v>
      </c>
      <c r="N53" s="143" t="n">
        <f aca="false">VLOOKUP($A53,FlowCal,N$1,0)</f>
        <v>0.548</v>
      </c>
      <c r="O53" s="143" t="n">
        <f aca="false">VLOOKUP($A53,FlowCal,O$1,0)</f>
        <v>0.611</v>
      </c>
      <c r="P53" s="144" t="n">
        <f aca="false">VLOOKUP($A53,FlowCal,P$1,0)</f>
        <v>0.775</v>
      </c>
      <c r="Q53" s="4" t="n">
        <v>0.448</v>
      </c>
      <c r="S53" s="140" t="n">
        <f aca="false">P53-Q53</f>
        <v>0.327</v>
      </c>
    </row>
    <row r="54" customFormat="false" ht="15.75" hidden="false" customHeight="true" outlineLevel="0" collapsed="false">
      <c r="A54" s="141" t="s">
        <v>84</v>
      </c>
      <c r="B54" s="142" t="str">
        <f aca="false">VLOOKUP($A54,FlowCal,B$1,0)</f>
        <v>Yellowtail CDP</v>
      </c>
      <c r="C54" s="81" t="n">
        <f aca="false">VLOOKUP($A54,FlowCal,C$1,0)</f>
        <v>93835.16</v>
      </c>
      <c r="D54" s="81" t="n">
        <f aca="false">VLOOKUP($A54,FlowCal,D$1,0)</f>
        <v>137843.85</v>
      </c>
      <c r="E54" s="81" t="n">
        <f aca="false">VLOOKUP($A54,FlowCal,E$1,0)</f>
        <v>62.1874120252386</v>
      </c>
      <c r="F54" s="81" t="n">
        <f aca="false">VLOOKUP($A54,FlowCal,F$1,0)</f>
        <v>86.1468728699175</v>
      </c>
      <c r="G54" s="143" t="n">
        <f aca="false">VLOOKUP($A54,FlowCal,G$1,0)</f>
        <v>0.674</v>
      </c>
      <c r="H54" s="143" t="n">
        <f aca="false">VLOOKUP($A54,FlowCal,H$1,0)</f>
        <v>1.324</v>
      </c>
      <c r="I54" s="143" t="n">
        <f aca="false">VLOOKUP($A54,FlowCal,I$1,0)</f>
        <v>67.68</v>
      </c>
      <c r="J54" s="143" t="n">
        <f aca="false">VLOOKUP($A54,FlowCal,J$1,0)</f>
        <v>13.238</v>
      </c>
      <c r="K54" s="143" t="n">
        <f aca="false">VLOOKUP($A54,FlowCal,K$1,0)</f>
        <v>8.748</v>
      </c>
      <c r="L54" s="143" t="n">
        <f aca="false">VLOOKUP($A54,FlowCal,L$1,0)</f>
        <v>1.033</v>
      </c>
      <c r="M54" s="143" t="n">
        <f aca="false">VLOOKUP($A54,FlowCal,M$1,0)</f>
        <v>3.276</v>
      </c>
      <c r="N54" s="143" t="n">
        <f aca="false">VLOOKUP($A54,FlowCal,N$1,0)</f>
        <v>0.778</v>
      </c>
      <c r="O54" s="143" t="n">
        <f aca="false">VLOOKUP($A54,FlowCal,O$1,0)</f>
        <v>0.912</v>
      </c>
      <c r="P54" s="144" t="n">
        <f aca="false">VLOOKUP($A54,FlowCal,P$1,0)</f>
        <v>2.337</v>
      </c>
      <c r="Q54" s="4" t="n">
        <v>1.071</v>
      </c>
      <c r="S54" s="140" t="n">
        <f aca="false">P54-Q54</f>
        <v>1.266</v>
      </c>
    </row>
    <row r="55" customFormat="false" ht="15.75" hidden="false" customHeight="true" outlineLevel="0" collapsed="false">
      <c r="A55" s="141" t="s">
        <v>85</v>
      </c>
      <c r="B55" s="142" t="str">
        <f aca="false">VLOOKUP($A55,FlowCal,B$1,0)</f>
        <v>Wild Jenny CDP</v>
      </c>
      <c r="C55" s="81" t="n">
        <f aca="false">VLOOKUP($A55,FlowCal,C$1,0)</f>
        <v>135025.2</v>
      </c>
      <c r="D55" s="81" t="n">
        <f aca="false">VLOOKUP($A55,FlowCal,D$1,0)</f>
        <v>181203.81</v>
      </c>
      <c r="E55" s="81" t="n">
        <f aca="false">VLOOKUP($A55,FlowCal,E$1,0)</f>
        <v>64.1920752716389</v>
      </c>
      <c r="F55" s="81" t="n">
        <f aca="false">VLOOKUP($A55,FlowCal,F$1,0)</f>
        <v>99.6528658427098</v>
      </c>
      <c r="G55" s="143" t="n">
        <f aca="false">VLOOKUP($A55,FlowCal,G$1,0)</f>
        <v>0.231</v>
      </c>
      <c r="H55" s="143" t="n">
        <f aca="false">VLOOKUP($A55,FlowCal,H$1,0)</f>
        <v>0.898</v>
      </c>
      <c r="I55" s="143" t="n">
        <f aca="false">VLOOKUP($A55,FlowCal,I$1,0)</f>
        <v>77.321</v>
      </c>
      <c r="J55" s="143" t="n">
        <f aca="false">VLOOKUP($A55,FlowCal,J$1,0)</f>
        <v>9.42</v>
      </c>
      <c r="K55" s="143" t="n">
        <f aca="false">VLOOKUP($A55,FlowCal,K$1,0)</f>
        <v>6.01</v>
      </c>
      <c r="L55" s="143" t="n">
        <f aca="false">VLOOKUP($A55,FlowCal,L$1,0)</f>
        <v>0.761</v>
      </c>
      <c r="M55" s="143" t="n">
        <f aca="false">VLOOKUP($A55,FlowCal,M$1,0)</f>
        <v>2.32</v>
      </c>
      <c r="N55" s="143" t="n">
        <f aca="false">VLOOKUP($A55,FlowCal,N$1,0)</f>
        <v>0.588</v>
      </c>
      <c r="O55" s="143" t="n">
        <f aca="false">VLOOKUP($A55,FlowCal,O$1,0)</f>
        <v>0.705</v>
      </c>
      <c r="P55" s="144" t="n">
        <f aca="false">VLOOKUP($A55,FlowCal,P$1,0)</f>
        <v>1.746</v>
      </c>
      <c r="Q55" s="4" t="n">
        <v>1.526</v>
      </c>
      <c r="S55" s="140" t="n">
        <f aca="false">P55-Q55</f>
        <v>0.22</v>
      </c>
    </row>
    <row r="56" customFormat="false" ht="15.75" hidden="false" customHeight="true" outlineLevel="0" collapsed="false">
      <c r="A56" s="141" t="s">
        <v>87</v>
      </c>
      <c r="B56" s="142" t="str">
        <f aca="false">VLOOKUP($A56,FlowCal,B$1,0)</f>
        <v>Mazer CDP</v>
      </c>
      <c r="C56" s="81" t="n">
        <f aca="false">VLOOKUP($A56,FlowCal,C$1,0)</f>
        <v>62525.86</v>
      </c>
      <c r="D56" s="81" t="n">
        <f aca="false">VLOOKUP($A56,FlowCal,D$1,0)</f>
        <v>81971.41</v>
      </c>
      <c r="E56" s="81" t="n">
        <f aca="false">VLOOKUP($A56,FlowCal,E$1,0)</f>
        <v>70.555804925251</v>
      </c>
      <c r="F56" s="81" t="n">
        <f aca="false">VLOOKUP($A56,FlowCal,F$1,0)</f>
        <v>84.839565504966</v>
      </c>
      <c r="G56" s="143" t="n">
        <f aca="false">VLOOKUP($A56,FlowCal,G$1,0)</f>
        <v>0.117</v>
      </c>
      <c r="H56" s="143" t="n">
        <f aca="false">VLOOKUP($A56,FlowCal,H$1,0)</f>
        <v>1.02</v>
      </c>
      <c r="I56" s="143" t="n">
        <f aca="false">VLOOKUP($A56,FlowCal,I$1,0)</f>
        <v>75.73</v>
      </c>
      <c r="J56" s="143" t="n">
        <f aca="false">VLOOKUP($A56,FlowCal,J$1,0)</f>
        <v>12.299</v>
      </c>
      <c r="K56" s="143" t="n">
        <f aca="false">VLOOKUP($A56,FlowCal,K$1,0)</f>
        <v>6.199</v>
      </c>
      <c r="L56" s="143" t="n">
        <f aca="false">VLOOKUP($A56,FlowCal,L$1,0)</f>
        <v>0.854</v>
      </c>
      <c r="M56" s="143" t="n">
        <f aca="false">VLOOKUP($A56,FlowCal,M$1,0)</f>
        <v>2.076</v>
      </c>
      <c r="N56" s="143" t="n">
        <f aca="false">VLOOKUP($A56,FlowCal,N$1,0)</f>
        <v>0.475</v>
      </c>
      <c r="O56" s="143" t="n">
        <f aca="false">VLOOKUP($A56,FlowCal,O$1,0)</f>
        <v>0.54</v>
      </c>
      <c r="P56" s="144" t="n">
        <f aca="false">VLOOKUP($A56,FlowCal,P$1,0)</f>
        <v>0.69</v>
      </c>
      <c r="Q56" s="4" t="n">
        <v>0.96</v>
      </c>
      <c r="S56" s="140" t="n">
        <f aca="false">P56-Q56</f>
        <v>-0.27</v>
      </c>
    </row>
    <row r="57" customFormat="false" ht="15.75" hidden="false" customHeight="true" outlineLevel="0" collapsed="false">
      <c r="A57" s="141" t="s">
        <v>22</v>
      </c>
      <c r="B57" s="142" t="str">
        <f aca="false">VLOOKUP($A57,FlowCal,B$1,0)</f>
        <v>King George CDP</v>
      </c>
      <c r="C57" s="81" t="n">
        <f aca="false">VLOOKUP($A57,FlowCal,C$1,0)</f>
        <v>66780.48</v>
      </c>
      <c r="D57" s="81" t="n">
        <f aca="false">VLOOKUP($A57,FlowCal,D$1,0)</f>
        <v>93559.45</v>
      </c>
      <c r="E57" s="81" t="n">
        <f aca="false">VLOOKUP($A57,FlowCal,E$1,0)</f>
        <v>60.6821671175185</v>
      </c>
      <c r="F57" s="81" t="n">
        <f aca="false">VLOOKUP($A57,FlowCal,F$1,0)</f>
        <v>87.1977908454652</v>
      </c>
      <c r="G57" s="143" t="n">
        <f aca="false">VLOOKUP($A57,FlowCal,G$1,0)</f>
        <v>0.534</v>
      </c>
      <c r="H57" s="143" t="n">
        <f aca="false">VLOOKUP($A57,FlowCal,H$1,0)</f>
        <v>0.769</v>
      </c>
      <c r="I57" s="143" t="n">
        <f aca="false">VLOOKUP($A57,FlowCal,I$1,0)</f>
        <v>70.478</v>
      </c>
      <c r="J57" s="143" t="n">
        <f aca="false">VLOOKUP($A57,FlowCal,J$1,0)</f>
        <v>14.337</v>
      </c>
      <c r="K57" s="143" t="n">
        <f aca="false">VLOOKUP($A57,FlowCal,K$1,0)</f>
        <v>7.781</v>
      </c>
      <c r="L57" s="143" t="n">
        <f aca="false">VLOOKUP($A57,FlowCal,L$1,0)</f>
        <v>0.784</v>
      </c>
      <c r="M57" s="143" t="n">
        <f aca="false">VLOOKUP($A57,FlowCal,M$1,0)</f>
        <v>2.504</v>
      </c>
      <c r="N57" s="143" t="n">
        <f aca="false">VLOOKUP($A57,FlowCal,N$1,0)</f>
        <v>0.516</v>
      </c>
      <c r="O57" s="143" t="n">
        <f aca="false">VLOOKUP($A57,FlowCal,O$1,0)</f>
        <v>0.772</v>
      </c>
      <c r="P57" s="144" t="n">
        <f aca="false">VLOOKUP($A57,FlowCal,P$1,0)</f>
        <v>1.525</v>
      </c>
      <c r="Q57" s="4" t="n">
        <v>0.922</v>
      </c>
      <c r="S57" s="140" t="n">
        <f aca="false">P57-Q57</f>
        <v>0.603</v>
      </c>
    </row>
    <row r="58" customFormat="false" ht="15.75" hidden="false" customHeight="true" outlineLevel="0" collapsed="false">
      <c r="A58" s="141" t="s">
        <v>23</v>
      </c>
      <c r="B58" s="142" t="str">
        <f aca="false">VLOOKUP($A58,FlowCal,B$1,0)</f>
        <v>Rick Vaughn CDP</v>
      </c>
      <c r="C58" s="81" t="n">
        <f aca="false">VLOOKUP($A58,FlowCal,C$1,0)</f>
        <v>399850.83</v>
      </c>
      <c r="D58" s="81" t="n">
        <f aca="false">VLOOKUP($A58,FlowCal,D$1,0)</f>
        <v>554593.09</v>
      </c>
      <c r="E58" s="81" t="n">
        <f aca="false">VLOOKUP($A58,FlowCal,E$1,0)</f>
        <v>97.7599473820053</v>
      </c>
      <c r="F58" s="81" t="n">
        <f aca="false">VLOOKUP($A58,FlowCal,F$1,0)</f>
        <v>115.991547780407</v>
      </c>
      <c r="G58" s="146" t="n">
        <v>0.085</v>
      </c>
      <c r="H58" s="146" t="n">
        <v>0.77</v>
      </c>
      <c r="I58" s="146" t="n">
        <v>73.096</v>
      </c>
      <c r="J58" s="146" t="n">
        <v>13.183</v>
      </c>
      <c r="K58" s="146" t="n">
        <v>6.905</v>
      </c>
      <c r="L58" s="146" t="n">
        <v>1.013</v>
      </c>
      <c r="M58" s="146" t="n">
        <v>2.475</v>
      </c>
      <c r="N58" s="146" t="n">
        <v>0.601</v>
      </c>
      <c r="O58" s="146" t="n">
        <v>0.736</v>
      </c>
      <c r="P58" s="147" t="n">
        <v>1.136</v>
      </c>
      <c r="Q58" s="4" t="n">
        <v>1.136</v>
      </c>
      <c r="S58" s="140" t="n">
        <f aca="false">P58-Q58</f>
        <v>0</v>
      </c>
    </row>
    <row r="59" customFormat="false" ht="15.75" hidden="false" customHeight="true" outlineLevel="0" collapsed="false">
      <c r="A59" s="141"/>
      <c r="B59" s="142"/>
      <c r="C59" s="81"/>
      <c r="D59" s="81"/>
      <c r="E59" s="81"/>
      <c r="F59" s="81"/>
      <c r="G59" s="143"/>
      <c r="H59" s="143"/>
      <c r="I59" s="143"/>
      <c r="J59" s="143"/>
      <c r="K59" s="143"/>
      <c r="L59" s="143"/>
      <c r="M59" s="143"/>
      <c r="N59" s="143"/>
      <c r="O59" s="143"/>
      <c r="P59" s="144"/>
    </row>
    <row r="60" customFormat="false" ht="15.75" hidden="false" customHeight="true" outlineLevel="0" collapsed="false">
      <c r="A60" s="141"/>
      <c r="B60" s="142"/>
      <c r="C60" s="81"/>
      <c r="D60" s="81"/>
      <c r="E60" s="81"/>
      <c r="F60" s="81"/>
      <c r="G60" s="143"/>
      <c r="H60" s="143"/>
      <c r="I60" s="143"/>
      <c r="J60" s="143"/>
      <c r="K60" s="143"/>
      <c r="L60" s="143"/>
      <c r="M60" s="143"/>
      <c r="N60" s="143"/>
      <c r="O60" s="143"/>
      <c r="P60" s="144"/>
    </row>
    <row r="61" customFormat="false" ht="15.75" hidden="false" customHeight="true" outlineLevel="0" collapsed="false">
      <c r="A61" s="141"/>
      <c r="B61" s="142"/>
      <c r="C61" s="81"/>
      <c r="D61" s="81"/>
      <c r="E61" s="81"/>
      <c r="F61" s="81"/>
      <c r="G61" s="143"/>
      <c r="H61" s="143"/>
      <c r="I61" s="143"/>
      <c r="J61" s="143"/>
      <c r="K61" s="143"/>
      <c r="L61" s="143"/>
      <c r="M61" s="143"/>
      <c r="N61" s="143"/>
      <c r="O61" s="143"/>
      <c r="P61" s="144"/>
    </row>
    <row r="62" customFormat="false" ht="15.75" hidden="false" customHeight="true" outlineLevel="0" collapsed="false">
      <c r="A62" s="141"/>
      <c r="B62" s="142"/>
      <c r="C62" s="81"/>
      <c r="D62" s="81"/>
      <c r="E62" s="81"/>
      <c r="F62" s="81"/>
      <c r="G62" s="143"/>
      <c r="H62" s="143"/>
      <c r="I62" s="143"/>
      <c r="J62" s="143"/>
      <c r="K62" s="143"/>
      <c r="L62" s="143"/>
      <c r="M62" s="143"/>
      <c r="N62" s="143"/>
      <c r="O62" s="143"/>
      <c r="P62" s="144"/>
    </row>
    <row r="63" customFormat="false" ht="15.75" hidden="false" customHeight="true" outlineLevel="0" collapsed="false">
      <c r="A63" s="141"/>
      <c r="B63" s="142"/>
      <c r="C63" s="81"/>
      <c r="D63" s="81"/>
      <c r="E63" s="81"/>
      <c r="F63" s="81"/>
      <c r="G63" s="143"/>
      <c r="H63" s="143"/>
      <c r="I63" s="143"/>
      <c r="J63" s="143"/>
      <c r="K63" s="143"/>
      <c r="L63" s="143"/>
      <c r="M63" s="143"/>
      <c r="N63" s="143"/>
      <c r="O63" s="143"/>
      <c r="P63" s="144"/>
    </row>
    <row r="64" customFormat="false" ht="15.75" hidden="false" customHeight="true" outlineLevel="0" collapsed="false">
      <c r="A64" s="141"/>
      <c r="B64" s="142"/>
      <c r="C64" s="81"/>
      <c r="D64" s="81"/>
      <c r="E64" s="81"/>
      <c r="F64" s="81"/>
      <c r="G64" s="143"/>
      <c r="H64" s="143"/>
      <c r="I64" s="143"/>
      <c r="J64" s="143"/>
      <c r="K64" s="143"/>
      <c r="L64" s="143"/>
      <c r="M64" s="143"/>
      <c r="N64" s="143"/>
      <c r="O64" s="143"/>
      <c r="P64" s="144"/>
    </row>
    <row r="65" customFormat="false" ht="15.75" hidden="false" customHeight="true" outlineLevel="0" collapsed="false">
      <c r="A65" s="141"/>
      <c r="B65" s="142"/>
      <c r="C65" s="81"/>
      <c r="D65" s="81"/>
      <c r="E65" s="81"/>
      <c r="F65" s="81"/>
      <c r="G65" s="143"/>
      <c r="H65" s="143"/>
      <c r="I65" s="143"/>
      <c r="J65" s="143"/>
      <c r="K65" s="143"/>
      <c r="L65" s="143"/>
      <c r="M65" s="143"/>
      <c r="N65" s="143"/>
      <c r="O65" s="143"/>
      <c r="P65" s="144"/>
    </row>
    <row r="66" customFormat="false" ht="15.75" hidden="false" customHeight="true" outlineLevel="0" collapsed="false">
      <c r="A66" s="141"/>
      <c r="B66" s="142"/>
      <c r="C66" s="81"/>
      <c r="D66" s="81"/>
      <c r="E66" s="81"/>
      <c r="F66" s="81"/>
      <c r="G66" s="143"/>
      <c r="H66" s="143"/>
      <c r="I66" s="143"/>
      <c r="J66" s="143"/>
      <c r="K66" s="143"/>
      <c r="L66" s="143"/>
      <c r="M66" s="143"/>
      <c r="N66" s="143"/>
      <c r="O66" s="143"/>
      <c r="P66" s="144"/>
    </row>
    <row r="67" customFormat="false" ht="15.75" hidden="false" customHeight="true" outlineLevel="0" collapsed="false">
      <c r="A67" s="141"/>
      <c r="B67" s="142"/>
      <c r="C67" s="81"/>
      <c r="D67" s="81"/>
      <c r="E67" s="81"/>
      <c r="F67" s="81"/>
      <c r="G67" s="143"/>
      <c r="H67" s="143"/>
      <c r="I67" s="143"/>
      <c r="J67" s="143"/>
      <c r="K67" s="143"/>
      <c r="L67" s="143"/>
      <c r="M67" s="143"/>
      <c r="N67" s="143"/>
      <c r="O67" s="143"/>
      <c r="P67" s="144"/>
    </row>
    <row r="68" customFormat="false" ht="15.75" hidden="false" customHeight="true" outlineLevel="0" collapsed="false">
      <c r="A68" s="141"/>
      <c r="B68" s="142"/>
      <c r="C68" s="81"/>
      <c r="D68" s="81"/>
      <c r="E68" s="81"/>
      <c r="F68" s="81"/>
      <c r="G68" s="143"/>
      <c r="H68" s="143"/>
      <c r="I68" s="143"/>
      <c r="J68" s="143"/>
      <c r="K68" s="143"/>
      <c r="L68" s="143"/>
      <c r="M68" s="143"/>
      <c r="N68" s="143"/>
      <c r="O68" s="143"/>
      <c r="P68" s="144"/>
    </row>
    <row r="69" customFormat="false" ht="15.75" hidden="false" customHeight="true" outlineLevel="0" collapsed="false">
      <c r="A69" s="141"/>
      <c r="B69" s="142"/>
      <c r="C69" s="81"/>
      <c r="D69" s="81"/>
      <c r="E69" s="81"/>
      <c r="F69" s="81"/>
      <c r="G69" s="143"/>
      <c r="H69" s="143"/>
      <c r="I69" s="143"/>
      <c r="J69" s="143"/>
      <c r="K69" s="143"/>
      <c r="L69" s="143"/>
      <c r="M69" s="143"/>
      <c r="N69" s="143"/>
      <c r="O69" s="143"/>
      <c r="P69" s="144"/>
    </row>
    <row r="70" customFormat="false" ht="15.75" hidden="false" customHeight="true" outlineLevel="0" collapsed="false">
      <c r="A70" s="141"/>
      <c r="B70" s="142"/>
      <c r="C70" s="81"/>
      <c r="D70" s="81"/>
      <c r="E70" s="81"/>
      <c r="F70" s="81"/>
      <c r="G70" s="143"/>
      <c r="H70" s="143"/>
      <c r="I70" s="143"/>
      <c r="J70" s="143"/>
      <c r="K70" s="143"/>
      <c r="L70" s="143"/>
      <c r="M70" s="143"/>
      <c r="N70" s="143"/>
      <c r="O70" s="143"/>
      <c r="P70" s="144"/>
    </row>
    <row r="71" customFormat="false" ht="15.75" hidden="false" customHeight="true" outlineLevel="0" collapsed="false">
      <c r="A71" s="141"/>
      <c r="B71" s="142"/>
      <c r="C71" s="81"/>
      <c r="D71" s="81"/>
      <c r="E71" s="81"/>
      <c r="F71" s="81"/>
      <c r="G71" s="143"/>
      <c r="H71" s="143"/>
      <c r="I71" s="143"/>
      <c r="J71" s="143"/>
      <c r="K71" s="143"/>
      <c r="L71" s="143"/>
      <c r="M71" s="143"/>
      <c r="N71" s="143"/>
      <c r="O71" s="143"/>
      <c r="P71" s="144"/>
    </row>
    <row r="72" customFormat="false" ht="15.75" hidden="false" customHeight="true" outlineLevel="0" collapsed="false">
      <c r="A72" s="141"/>
      <c r="B72" s="142"/>
      <c r="C72" s="81"/>
      <c r="D72" s="81"/>
      <c r="E72" s="81"/>
      <c r="F72" s="81"/>
      <c r="G72" s="143"/>
      <c r="H72" s="143"/>
      <c r="I72" s="143"/>
      <c r="J72" s="143"/>
      <c r="K72" s="143"/>
      <c r="L72" s="143"/>
      <c r="M72" s="143"/>
      <c r="N72" s="143"/>
      <c r="O72" s="143"/>
      <c r="P72" s="144"/>
    </row>
    <row r="73" customFormat="false" ht="15.75" hidden="false" customHeight="true" outlineLevel="0" collapsed="false">
      <c r="A73" s="141"/>
      <c r="B73" s="142"/>
      <c r="C73" s="81"/>
      <c r="D73" s="81"/>
      <c r="E73" s="81"/>
      <c r="F73" s="81"/>
      <c r="G73" s="143"/>
      <c r="H73" s="143"/>
      <c r="I73" s="143"/>
      <c r="J73" s="143"/>
      <c r="K73" s="143"/>
      <c r="L73" s="143"/>
      <c r="M73" s="143"/>
      <c r="N73" s="143"/>
      <c r="O73" s="143"/>
      <c r="P73" s="144"/>
    </row>
    <row r="74" customFormat="false" ht="15.75" hidden="false" customHeight="true" outlineLevel="0" collapsed="false">
      <c r="A74" s="141"/>
      <c r="B74" s="142"/>
      <c r="C74" s="81"/>
      <c r="D74" s="81"/>
      <c r="E74" s="81"/>
      <c r="F74" s="81"/>
      <c r="G74" s="143"/>
      <c r="H74" s="143"/>
      <c r="I74" s="143"/>
      <c r="J74" s="143"/>
      <c r="K74" s="143"/>
      <c r="L74" s="143"/>
      <c r="M74" s="143"/>
      <c r="N74" s="143"/>
      <c r="O74" s="143"/>
      <c r="P74" s="144"/>
    </row>
    <row r="75" customFormat="false" ht="15.75" hidden="false" customHeight="true" outlineLevel="0" collapsed="false">
      <c r="A75" s="141"/>
      <c r="B75" s="142"/>
      <c r="C75" s="81"/>
      <c r="D75" s="81"/>
      <c r="E75" s="81"/>
      <c r="F75" s="81"/>
      <c r="G75" s="143"/>
      <c r="H75" s="143"/>
      <c r="I75" s="143"/>
      <c r="J75" s="143"/>
      <c r="K75" s="143"/>
      <c r="L75" s="143"/>
      <c r="M75" s="143"/>
      <c r="N75" s="143"/>
      <c r="O75" s="143"/>
      <c r="P75" s="144"/>
    </row>
    <row r="76" customFormat="false" ht="15.75" hidden="false" customHeight="true" outlineLevel="0" collapsed="false">
      <c r="A76" s="141"/>
      <c r="B76" s="142"/>
      <c r="C76" s="81"/>
      <c r="D76" s="81"/>
      <c r="E76" s="81"/>
      <c r="F76" s="81"/>
      <c r="G76" s="143"/>
      <c r="H76" s="143"/>
      <c r="I76" s="143"/>
      <c r="J76" s="143"/>
      <c r="K76" s="143"/>
      <c r="L76" s="143"/>
      <c r="M76" s="143"/>
      <c r="N76" s="143"/>
      <c r="O76" s="143"/>
      <c r="P76" s="144"/>
    </row>
    <row r="77" customFormat="false" ht="15.75" hidden="false" customHeight="true" outlineLevel="0" collapsed="false">
      <c r="A77" s="141"/>
      <c r="B77" s="142"/>
      <c r="C77" s="81"/>
      <c r="D77" s="81"/>
      <c r="E77" s="81"/>
      <c r="F77" s="81"/>
      <c r="G77" s="143"/>
      <c r="H77" s="143"/>
      <c r="I77" s="143"/>
      <c r="J77" s="143"/>
      <c r="K77" s="143"/>
      <c r="L77" s="143"/>
      <c r="M77" s="143"/>
      <c r="N77" s="143"/>
      <c r="O77" s="143"/>
      <c r="P77" s="144"/>
    </row>
    <row r="78" customFormat="false" ht="15.75" hidden="false" customHeight="true" outlineLevel="0" collapsed="false">
      <c r="A78" s="141"/>
      <c r="B78" s="142"/>
      <c r="C78" s="81"/>
      <c r="D78" s="81"/>
      <c r="E78" s="81"/>
      <c r="F78" s="81"/>
      <c r="G78" s="143"/>
      <c r="H78" s="143"/>
      <c r="I78" s="143"/>
      <c r="J78" s="143"/>
      <c r="K78" s="143"/>
      <c r="L78" s="143"/>
      <c r="M78" s="143"/>
      <c r="N78" s="143"/>
      <c r="O78" s="143"/>
      <c r="P78" s="144"/>
    </row>
    <row r="79" customFormat="false" ht="15.75" hidden="false" customHeight="true" outlineLevel="0" collapsed="false">
      <c r="A79" s="141"/>
      <c r="B79" s="142"/>
      <c r="C79" s="81"/>
      <c r="D79" s="81"/>
      <c r="E79" s="81"/>
      <c r="F79" s="81"/>
      <c r="G79" s="143"/>
      <c r="H79" s="143"/>
      <c r="I79" s="143"/>
      <c r="J79" s="143"/>
      <c r="K79" s="143"/>
      <c r="L79" s="143"/>
      <c r="M79" s="143"/>
      <c r="N79" s="143"/>
      <c r="O79" s="143"/>
      <c r="P79" s="144"/>
    </row>
    <row r="80" customFormat="false" ht="15.75" hidden="false" customHeight="true" outlineLevel="0" collapsed="false">
      <c r="A80" s="141"/>
      <c r="B80" s="142"/>
      <c r="C80" s="81"/>
      <c r="D80" s="81"/>
      <c r="E80" s="81"/>
      <c r="F80" s="81"/>
      <c r="G80" s="143"/>
      <c r="H80" s="143"/>
      <c r="I80" s="143"/>
      <c r="J80" s="143"/>
      <c r="K80" s="143"/>
      <c r="L80" s="143"/>
      <c r="M80" s="143"/>
      <c r="N80" s="143"/>
      <c r="O80" s="143"/>
      <c r="P80" s="144"/>
    </row>
    <row r="81" customFormat="false" ht="15.75" hidden="false" customHeight="true" outlineLevel="0" collapsed="false">
      <c r="A81" s="141"/>
      <c r="B81" s="142"/>
      <c r="C81" s="81"/>
      <c r="D81" s="81"/>
      <c r="E81" s="81"/>
      <c r="F81" s="81"/>
      <c r="G81" s="143"/>
      <c r="H81" s="143"/>
      <c r="I81" s="143"/>
      <c r="J81" s="143"/>
      <c r="K81" s="143"/>
      <c r="L81" s="143"/>
      <c r="M81" s="143"/>
      <c r="N81" s="143"/>
      <c r="O81" s="143"/>
      <c r="P81" s="144"/>
    </row>
    <row r="82" customFormat="false" ht="15.75" hidden="false" customHeight="true" outlineLevel="0" collapsed="false">
      <c r="A82" s="141"/>
      <c r="B82" s="142"/>
      <c r="C82" s="81"/>
      <c r="D82" s="81"/>
      <c r="E82" s="81"/>
      <c r="F82" s="81"/>
      <c r="G82" s="143"/>
      <c r="H82" s="143"/>
      <c r="I82" s="143"/>
      <c r="J82" s="143"/>
      <c r="K82" s="143"/>
      <c r="L82" s="143"/>
      <c r="M82" s="143"/>
      <c r="N82" s="143"/>
      <c r="O82" s="143"/>
      <c r="P82" s="144"/>
    </row>
    <row r="83" customFormat="false" ht="15.75" hidden="false" customHeight="true" outlineLevel="0" collapsed="false">
      <c r="A83" s="141"/>
      <c r="B83" s="142"/>
      <c r="C83" s="81"/>
      <c r="D83" s="81"/>
      <c r="E83" s="81"/>
      <c r="F83" s="81"/>
      <c r="G83" s="143"/>
      <c r="H83" s="143"/>
      <c r="I83" s="143"/>
      <c r="J83" s="143"/>
      <c r="K83" s="143"/>
      <c r="L83" s="143"/>
      <c r="M83" s="143"/>
      <c r="N83" s="143"/>
      <c r="O83" s="143"/>
      <c r="P83" s="144"/>
    </row>
    <row r="84" customFormat="false" ht="15.75" hidden="false" customHeight="true" outlineLevel="0" collapsed="false">
      <c r="A84" s="141"/>
      <c r="B84" s="142"/>
      <c r="C84" s="81"/>
      <c r="D84" s="81"/>
      <c r="E84" s="81"/>
      <c r="F84" s="81"/>
      <c r="G84" s="143"/>
      <c r="H84" s="143"/>
      <c r="I84" s="143"/>
      <c r="J84" s="143"/>
      <c r="K84" s="143"/>
      <c r="L84" s="143"/>
      <c r="M84" s="143"/>
      <c r="N84" s="143"/>
      <c r="O84" s="143"/>
      <c r="P84" s="144"/>
    </row>
    <row r="85" customFormat="false" ht="15.75" hidden="false" customHeight="true" outlineLevel="0" collapsed="false">
      <c r="A85" s="141"/>
      <c r="B85" s="142"/>
      <c r="C85" s="81"/>
      <c r="D85" s="81"/>
      <c r="E85" s="81"/>
      <c r="F85" s="81"/>
      <c r="G85" s="143"/>
      <c r="H85" s="143"/>
      <c r="I85" s="143"/>
      <c r="J85" s="143"/>
      <c r="K85" s="143"/>
      <c r="L85" s="143"/>
      <c r="M85" s="143"/>
      <c r="N85" s="143"/>
      <c r="O85" s="143"/>
      <c r="P85" s="144"/>
    </row>
    <row r="86" customFormat="false" ht="15.75" hidden="false" customHeight="true" outlineLevel="0" collapsed="false">
      <c r="A86" s="141"/>
      <c r="B86" s="142"/>
      <c r="C86" s="81"/>
      <c r="D86" s="81"/>
      <c r="E86" s="81"/>
      <c r="F86" s="81"/>
      <c r="G86" s="143"/>
      <c r="H86" s="143"/>
      <c r="I86" s="143"/>
      <c r="J86" s="143"/>
      <c r="K86" s="143"/>
      <c r="L86" s="143"/>
      <c r="M86" s="143"/>
      <c r="N86" s="143"/>
      <c r="O86" s="143"/>
      <c r="P86" s="144"/>
    </row>
    <row r="87" customFormat="false" ht="15.75" hidden="false" customHeight="true" outlineLevel="0" collapsed="false">
      <c r="A87" s="141"/>
      <c r="B87" s="142"/>
      <c r="C87" s="81"/>
      <c r="D87" s="81"/>
      <c r="E87" s="81"/>
      <c r="F87" s="81"/>
      <c r="G87" s="143"/>
      <c r="H87" s="143"/>
      <c r="I87" s="143"/>
      <c r="J87" s="143"/>
      <c r="K87" s="143"/>
      <c r="L87" s="143"/>
      <c r="M87" s="143"/>
      <c r="N87" s="143"/>
      <c r="O87" s="143"/>
      <c r="P87" s="144"/>
    </row>
    <row r="88" customFormat="false" ht="15.75" hidden="false" customHeight="true" outlineLevel="0" collapsed="false">
      <c r="A88" s="141"/>
      <c r="B88" s="142"/>
      <c r="C88" s="81"/>
      <c r="D88" s="81"/>
      <c r="E88" s="81"/>
      <c r="F88" s="81"/>
      <c r="G88" s="143"/>
      <c r="H88" s="143"/>
      <c r="I88" s="143"/>
      <c r="J88" s="143"/>
      <c r="K88" s="143"/>
      <c r="L88" s="143"/>
      <c r="M88" s="143"/>
      <c r="N88" s="143"/>
      <c r="O88" s="143"/>
      <c r="P88" s="144"/>
    </row>
    <row r="89" customFormat="false" ht="15.75" hidden="false" customHeight="true" outlineLevel="0" collapsed="false">
      <c r="A89" s="141"/>
      <c r="B89" s="142"/>
      <c r="C89" s="81"/>
      <c r="D89" s="81"/>
      <c r="E89" s="81"/>
      <c r="F89" s="81"/>
      <c r="G89" s="143"/>
      <c r="H89" s="143"/>
      <c r="I89" s="143"/>
      <c r="J89" s="143"/>
      <c r="K89" s="143"/>
      <c r="L89" s="143"/>
      <c r="M89" s="143"/>
      <c r="N89" s="143"/>
      <c r="O89" s="143"/>
      <c r="P89" s="144"/>
    </row>
    <row r="90" customFormat="false" ht="15.75" hidden="false" customHeight="true" outlineLevel="0" collapsed="false">
      <c r="A90" s="141"/>
      <c r="B90" s="142"/>
      <c r="C90" s="81"/>
      <c r="D90" s="81"/>
      <c r="E90" s="81"/>
      <c r="F90" s="81"/>
      <c r="G90" s="143"/>
      <c r="H90" s="143"/>
      <c r="I90" s="143"/>
      <c r="J90" s="143"/>
      <c r="K90" s="143"/>
      <c r="L90" s="143"/>
      <c r="M90" s="143"/>
      <c r="N90" s="143"/>
      <c r="O90" s="143"/>
      <c r="P90" s="144"/>
    </row>
    <row r="91" customFormat="false" ht="15.75" hidden="false" customHeight="true" outlineLevel="0" collapsed="false">
      <c r="A91" s="141"/>
      <c r="B91" s="142"/>
      <c r="C91" s="81"/>
      <c r="D91" s="81"/>
      <c r="E91" s="81"/>
      <c r="F91" s="81"/>
      <c r="G91" s="143"/>
      <c r="H91" s="143"/>
      <c r="I91" s="143"/>
      <c r="J91" s="143"/>
      <c r="K91" s="143"/>
      <c r="L91" s="143"/>
      <c r="M91" s="143"/>
      <c r="N91" s="143"/>
      <c r="O91" s="143"/>
      <c r="P91" s="144"/>
    </row>
    <row r="92" customFormat="false" ht="15.75" hidden="false" customHeight="true" outlineLevel="0" collapsed="false">
      <c r="A92" s="141"/>
      <c r="B92" s="142"/>
      <c r="C92" s="81"/>
      <c r="D92" s="81"/>
      <c r="E92" s="81"/>
      <c r="F92" s="81"/>
      <c r="G92" s="143"/>
      <c r="H92" s="143"/>
      <c r="I92" s="143"/>
      <c r="J92" s="143"/>
      <c r="K92" s="143"/>
      <c r="L92" s="143"/>
      <c r="M92" s="143"/>
      <c r="N92" s="143"/>
      <c r="O92" s="143"/>
      <c r="P92" s="144"/>
    </row>
    <row r="93" customFormat="false" ht="15.75" hidden="false" customHeight="true" outlineLevel="0" collapsed="false">
      <c r="A93" s="141"/>
      <c r="B93" s="142"/>
      <c r="C93" s="81"/>
      <c r="D93" s="81"/>
      <c r="E93" s="81"/>
      <c r="F93" s="81"/>
      <c r="G93" s="143"/>
      <c r="H93" s="143"/>
      <c r="I93" s="143"/>
      <c r="J93" s="143"/>
      <c r="K93" s="143"/>
      <c r="L93" s="143"/>
      <c r="M93" s="143"/>
      <c r="N93" s="143"/>
      <c r="O93" s="143"/>
      <c r="P93" s="144"/>
    </row>
    <row r="94" customFormat="false" ht="15.75" hidden="false" customHeight="true" outlineLevel="0" collapsed="false">
      <c r="A94" s="141"/>
      <c r="B94" s="142"/>
      <c r="C94" s="81"/>
      <c r="D94" s="81"/>
      <c r="E94" s="81"/>
      <c r="F94" s="81"/>
      <c r="G94" s="143"/>
      <c r="H94" s="143"/>
      <c r="I94" s="143"/>
      <c r="J94" s="143"/>
      <c r="K94" s="143"/>
      <c r="L94" s="143"/>
      <c r="M94" s="143"/>
      <c r="N94" s="143"/>
      <c r="O94" s="143"/>
      <c r="P94" s="144"/>
    </row>
    <row r="95" customFormat="false" ht="15.75" hidden="false" customHeight="true" outlineLevel="0" collapsed="false">
      <c r="A95" s="141"/>
      <c r="B95" s="142"/>
      <c r="C95" s="81"/>
      <c r="D95" s="81"/>
      <c r="E95" s="81"/>
      <c r="F95" s="81"/>
      <c r="G95" s="143"/>
      <c r="H95" s="143"/>
      <c r="I95" s="143"/>
      <c r="J95" s="143"/>
      <c r="K95" s="143"/>
      <c r="L95" s="143"/>
      <c r="M95" s="143"/>
      <c r="N95" s="143"/>
      <c r="O95" s="143"/>
      <c r="P95" s="144"/>
    </row>
    <row r="96" customFormat="false" ht="15.75" hidden="false" customHeight="true" outlineLevel="0" collapsed="false">
      <c r="A96" s="141"/>
      <c r="B96" s="142"/>
      <c r="C96" s="81"/>
      <c r="D96" s="81"/>
      <c r="E96" s="81"/>
      <c r="F96" s="81"/>
      <c r="G96" s="143"/>
      <c r="H96" s="143"/>
      <c r="I96" s="143"/>
      <c r="J96" s="143"/>
      <c r="K96" s="143"/>
      <c r="L96" s="143"/>
      <c r="M96" s="143"/>
      <c r="N96" s="143"/>
      <c r="O96" s="143"/>
      <c r="P96" s="144"/>
    </row>
    <row r="97" customFormat="false" ht="15.75" hidden="false" customHeight="true" outlineLevel="0" collapsed="false">
      <c r="A97" s="141"/>
      <c r="B97" s="142"/>
      <c r="C97" s="81"/>
      <c r="D97" s="81"/>
      <c r="E97" s="81"/>
      <c r="F97" s="81"/>
      <c r="G97" s="143"/>
      <c r="H97" s="143"/>
      <c r="I97" s="143"/>
      <c r="J97" s="143"/>
      <c r="K97" s="143"/>
      <c r="L97" s="143"/>
      <c r="M97" s="143"/>
      <c r="N97" s="143"/>
      <c r="O97" s="143"/>
      <c r="P97" s="144"/>
    </row>
    <row r="98" customFormat="false" ht="15.75" hidden="false" customHeight="true" outlineLevel="0" collapsed="false">
      <c r="A98" s="141"/>
      <c r="B98" s="142"/>
      <c r="C98" s="81"/>
      <c r="D98" s="81"/>
      <c r="E98" s="81"/>
      <c r="F98" s="81"/>
      <c r="G98" s="143"/>
      <c r="H98" s="143"/>
      <c r="I98" s="143"/>
      <c r="J98" s="143"/>
      <c r="K98" s="143"/>
      <c r="L98" s="143"/>
      <c r="M98" s="143"/>
      <c r="N98" s="143"/>
      <c r="O98" s="143"/>
      <c r="P98" s="144"/>
    </row>
    <row r="99" customFormat="false" ht="15.75" hidden="false" customHeight="true" outlineLevel="0" collapsed="false">
      <c r="A99" s="141"/>
      <c r="B99" s="142"/>
      <c r="C99" s="81"/>
      <c r="D99" s="81"/>
      <c r="E99" s="81"/>
      <c r="F99" s="81"/>
      <c r="G99" s="143"/>
      <c r="H99" s="143"/>
      <c r="I99" s="143"/>
      <c r="J99" s="143"/>
      <c r="K99" s="143"/>
      <c r="L99" s="143"/>
      <c r="M99" s="143"/>
      <c r="N99" s="143"/>
      <c r="O99" s="143"/>
      <c r="P99" s="144"/>
    </row>
    <row r="100" customFormat="false" ht="15.75" hidden="false" customHeight="true" outlineLevel="0" collapsed="false">
      <c r="A100" s="141"/>
      <c r="B100" s="142"/>
      <c r="C100" s="81"/>
      <c r="D100" s="81"/>
      <c r="E100" s="81"/>
      <c r="F100" s="81"/>
      <c r="G100" s="143"/>
      <c r="H100" s="143"/>
      <c r="I100" s="143"/>
      <c r="J100" s="143"/>
      <c r="K100" s="143"/>
      <c r="L100" s="143"/>
      <c r="M100" s="143"/>
      <c r="N100" s="143"/>
      <c r="O100" s="143"/>
      <c r="P100" s="144"/>
    </row>
    <row r="101" customFormat="false" ht="15.75" hidden="false" customHeight="true" outlineLevel="0" collapsed="false">
      <c r="A101" s="141"/>
      <c r="B101" s="142"/>
      <c r="C101" s="81"/>
      <c r="D101" s="81"/>
      <c r="E101" s="81"/>
      <c r="F101" s="81"/>
      <c r="G101" s="143"/>
      <c r="H101" s="143"/>
      <c r="I101" s="143"/>
      <c r="J101" s="143"/>
      <c r="K101" s="143"/>
      <c r="L101" s="143"/>
      <c r="M101" s="143"/>
      <c r="N101" s="143"/>
      <c r="O101" s="143"/>
      <c r="P101" s="144"/>
    </row>
    <row r="102" customFormat="false" ht="15.75" hidden="false" customHeight="true" outlineLevel="0" collapsed="false">
      <c r="A102" s="141"/>
      <c r="B102" s="142"/>
      <c r="C102" s="81"/>
      <c r="D102" s="81"/>
      <c r="E102" s="81"/>
      <c r="F102" s="81"/>
      <c r="G102" s="143"/>
      <c r="H102" s="143"/>
      <c r="I102" s="143"/>
      <c r="J102" s="143"/>
      <c r="K102" s="143"/>
      <c r="L102" s="143"/>
      <c r="M102" s="143"/>
      <c r="N102" s="143"/>
      <c r="O102" s="143"/>
      <c r="P102" s="144"/>
    </row>
    <row r="103" customFormat="false" ht="15.75" hidden="false" customHeight="true" outlineLevel="0" collapsed="false">
      <c r="A103" s="148"/>
      <c r="B103" s="142"/>
      <c r="C103" s="142"/>
      <c r="D103" s="142"/>
      <c r="E103" s="142"/>
      <c r="F103" s="142"/>
      <c r="G103" s="143"/>
      <c r="H103" s="143"/>
      <c r="I103" s="143"/>
      <c r="J103" s="143"/>
      <c r="K103" s="143"/>
      <c r="L103" s="143"/>
      <c r="M103" s="143"/>
      <c r="N103" s="143"/>
      <c r="O103" s="143"/>
      <c r="P103" s="144"/>
    </row>
    <row r="104" customFormat="false" ht="15.75" hidden="false" customHeight="true" outlineLevel="0" collapsed="false">
      <c r="A104" s="148"/>
      <c r="B104" s="142"/>
      <c r="C104" s="142"/>
      <c r="D104" s="142"/>
      <c r="E104" s="142"/>
      <c r="F104" s="142"/>
      <c r="G104" s="143"/>
      <c r="H104" s="143"/>
      <c r="I104" s="143"/>
      <c r="J104" s="143"/>
      <c r="K104" s="143"/>
      <c r="L104" s="143"/>
      <c r="M104" s="143"/>
      <c r="N104" s="143"/>
      <c r="O104" s="143"/>
      <c r="P104" s="144"/>
    </row>
    <row r="105" customFormat="false" ht="15.75" hidden="false" customHeight="true" outlineLevel="0" collapsed="false">
      <c r="A105" s="148"/>
      <c r="B105" s="142"/>
      <c r="C105" s="142"/>
      <c r="D105" s="142"/>
      <c r="E105" s="142"/>
      <c r="F105" s="142"/>
      <c r="G105" s="143"/>
      <c r="H105" s="143"/>
      <c r="I105" s="143"/>
      <c r="J105" s="143"/>
      <c r="K105" s="143"/>
      <c r="L105" s="143"/>
      <c r="M105" s="143"/>
      <c r="N105" s="143"/>
      <c r="O105" s="143"/>
      <c r="P105" s="144"/>
    </row>
    <row r="106" customFormat="false" ht="15.75" hidden="false" customHeight="true" outlineLevel="0" collapsed="false">
      <c r="A106" s="148"/>
      <c r="B106" s="142"/>
      <c r="C106" s="142"/>
      <c r="D106" s="142"/>
      <c r="E106" s="142"/>
      <c r="F106" s="142"/>
      <c r="G106" s="143"/>
      <c r="H106" s="143"/>
      <c r="I106" s="143"/>
      <c r="J106" s="143"/>
      <c r="K106" s="143"/>
      <c r="L106" s="143"/>
      <c r="M106" s="143"/>
      <c r="N106" s="143"/>
      <c r="O106" s="143"/>
      <c r="P106" s="144"/>
    </row>
    <row r="107" customFormat="false" ht="15.75" hidden="false" customHeight="true" outlineLevel="0" collapsed="false">
      <c r="A107" s="148"/>
      <c r="B107" s="142"/>
      <c r="C107" s="142"/>
      <c r="D107" s="142"/>
      <c r="E107" s="142"/>
      <c r="F107" s="142"/>
      <c r="G107" s="143"/>
      <c r="H107" s="143"/>
      <c r="I107" s="143"/>
      <c r="J107" s="143"/>
      <c r="K107" s="143"/>
      <c r="L107" s="143"/>
      <c r="M107" s="143"/>
      <c r="N107" s="143"/>
      <c r="O107" s="143"/>
      <c r="P107" s="144"/>
    </row>
    <row r="108" customFormat="false" ht="15.75" hidden="false" customHeight="true" outlineLevel="0" collapsed="false">
      <c r="A108" s="148"/>
      <c r="B108" s="142"/>
      <c r="C108" s="142"/>
      <c r="D108" s="142"/>
      <c r="E108" s="142"/>
      <c r="F108" s="142"/>
      <c r="G108" s="143"/>
      <c r="H108" s="143"/>
      <c r="I108" s="143"/>
      <c r="J108" s="143"/>
      <c r="K108" s="143"/>
      <c r="L108" s="143"/>
      <c r="M108" s="143"/>
      <c r="N108" s="143"/>
      <c r="O108" s="143"/>
      <c r="P108" s="144"/>
    </row>
    <row r="109" customFormat="false" ht="15.75" hidden="false" customHeight="true" outlineLevel="0" collapsed="false">
      <c r="A109" s="148"/>
      <c r="B109" s="142"/>
      <c r="C109" s="142"/>
      <c r="D109" s="142"/>
      <c r="E109" s="142"/>
      <c r="F109" s="142"/>
      <c r="G109" s="143"/>
      <c r="H109" s="143"/>
      <c r="I109" s="143"/>
      <c r="J109" s="143"/>
      <c r="K109" s="143"/>
      <c r="L109" s="143"/>
      <c r="M109" s="143"/>
      <c r="N109" s="143"/>
      <c r="O109" s="143"/>
      <c r="P109" s="144"/>
    </row>
    <row r="110" customFormat="false" ht="15.75" hidden="false" customHeight="true" outlineLevel="0" collapsed="false">
      <c r="A110" s="148"/>
      <c r="B110" s="142"/>
      <c r="C110" s="142"/>
      <c r="D110" s="142"/>
      <c r="E110" s="142"/>
      <c r="F110" s="142"/>
      <c r="G110" s="143"/>
      <c r="H110" s="143"/>
      <c r="I110" s="143"/>
      <c r="J110" s="143"/>
      <c r="K110" s="143"/>
      <c r="L110" s="143"/>
      <c r="M110" s="143"/>
      <c r="N110" s="143"/>
      <c r="O110" s="143"/>
      <c r="P110" s="144"/>
    </row>
    <row r="111" customFormat="false" ht="15.75" hidden="false" customHeight="true" outlineLevel="0" collapsed="false">
      <c r="A111" s="148"/>
      <c r="B111" s="142"/>
      <c r="C111" s="142"/>
      <c r="D111" s="142"/>
      <c r="E111" s="142"/>
      <c r="F111" s="142"/>
      <c r="G111" s="143"/>
      <c r="H111" s="143"/>
      <c r="I111" s="143"/>
      <c r="J111" s="143"/>
      <c r="K111" s="143"/>
      <c r="L111" s="143"/>
      <c r="M111" s="143"/>
      <c r="N111" s="143"/>
      <c r="O111" s="143"/>
      <c r="P111" s="144"/>
    </row>
    <row r="112" customFormat="false" ht="15.75" hidden="false" customHeight="true" outlineLevel="0" collapsed="false">
      <c r="A112" s="148"/>
      <c r="B112" s="142"/>
      <c r="C112" s="142"/>
      <c r="D112" s="142"/>
      <c r="E112" s="142"/>
      <c r="F112" s="142"/>
      <c r="G112" s="143"/>
      <c r="H112" s="143"/>
      <c r="I112" s="143"/>
      <c r="J112" s="143"/>
      <c r="K112" s="143"/>
      <c r="L112" s="143"/>
      <c r="M112" s="143"/>
      <c r="N112" s="143"/>
      <c r="O112" s="143"/>
      <c r="P112" s="144"/>
    </row>
    <row r="113" customFormat="false" ht="15.75" hidden="false" customHeight="true" outlineLevel="0" collapsed="false">
      <c r="A113" s="148"/>
      <c r="B113" s="142"/>
      <c r="C113" s="142"/>
      <c r="D113" s="142"/>
      <c r="E113" s="142"/>
      <c r="F113" s="142"/>
      <c r="G113" s="143"/>
      <c r="H113" s="143"/>
      <c r="I113" s="143"/>
      <c r="J113" s="143"/>
      <c r="K113" s="143"/>
      <c r="L113" s="143"/>
      <c r="M113" s="143"/>
      <c r="N113" s="143"/>
      <c r="O113" s="143"/>
      <c r="P113" s="144"/>
    </row>
    <row r="114" customFormat="false" ht="15.75" hidden="false" customHeight="true" outlineLevel="0" collapsed="false">
      <c r="A114" s="148"/>
      <c r="B114" s="142"/>
      <c r="C114" s="142"/>
      <c r="D114" s="142"/>
      <c r="E114" s="142"/>
      <c r="F114" s="142"/>
      <c r="G114" s="143"/>
      <c r="H114" s="143"/>
      <c r="I114" s="143"/>
      <c r="J114" s="143"/>
      <c r="K114" s="143"/>
      <c r="L114" s="143"/>
      <c r="M114" s="143"/>
      <c r="N114" s="143"/>
      <c r="O114" s="143"/>
      <c r="P114" s="144"/>
    </row>
    <row r="115" customFormat="false" ht="15.75" hidden="false" customHeight="true" outlineLevel="0" collapsed="false">
      <c r="A115" s="148"/>
      <c r="B115" s="142"/>
      <c r="C115" s="142"/>
      <c r="D115" s="142"/>
      <c r="E115" s="142"/>
      <c r="F115" s="142"/>
      <c r="G115" s="143"/>
      <c r="H115" s="143"/>
      <c r="I115" s="143"/>
      <c r="J115" s="143"/>
      <c r="K115" s="143"/>
      <c r="L115" s="143"/>
      <c r="M115" s="143"/>
      <c r="N115" s="143"/>
      <c r="O115" s="143"/>
      <c r="P115" s="144"/>
    </row>
    <row r="116" customFormat="false" ht="15.75" hidden="false" customHeight="true" outlineLevel="0" collapsed="false">
      <c r="A116" s="148"/>
      <c r="B116" s="142"/>
      <c r="C116" s="142"/>
      <c r="D116" s="142"/>
      <c r="E116" s="142"/>
      <c r="F116" s="142"/>
      <c r="G116" s="143"/>
      <c r="H116" s="143"/>
      <c r="I116" s="143"/>
      <c r="J116" s="143"/>
      <c r="K116" s="143"/>
      <c r="L116" s="143"/>
      <c r="M116" s="143"/>
      <c r="N116" s="143"/>
      <c r="O116" s="143"/>
      <c r="P116" s="144"/>
    </row>
    <row r="117" customFormat="false" ht="15.75" hidden="false" customHeight="true" outlineLevel="0" collapsed="false">
      <c r="A117" s="148"/>
      <c r="B117" s="142"/>
      <c r="C117" s="142"/>
      <c r="D117" s="142"/>
      <c r="E117" s="142"/>
      <c r="F117" s="142"/>
      <c r="G117" s="143"/>
      <c r="H117" s="143"/>
      <c r="I117" s="143"/>
      <c r="J117" s="143"/>
      <c r="K117" s="143"/>
      <c r="L117" s="143"/>
      <c r="M117" s="143"/>
      <c r="N117" s="143"/>
      <c r="O117" s="143"/>
      <c r="P117" s="144"/>
    </row>
    <row r="118" customFormat="false" ht="15.75" hidden="false" customHeight="true" outlineLevel="0" collapsed="false">
      <c r="A118" s="148"/>
      <c r="B118" s="142"/>
      <c r="C118" s="142"/>
      <c r="D118" s="142"/>
      <c r="E118" s="142"/>
      <c r="F118" s="142"/>
      <c r="G118" s="143"/>
      <c r="H118" s="143"/>
      <c r="I118" s="143"/>
      <c r="J118" s="143"/>
      <c r="K118" s="143"/>
      <c r="L118" s="143"/>
      <c r="M118" s="143"/>
      <c r="N118" s="143"/>
      <c r="O118" s="143"/>
      <c r="P118" s="144"/>
    </row>
    <row r="119" customFormat="false" ht="15.75" hidden="false" customHeight="true" outlineLevel="0" collapsed="false">
      <c r="A119" s="148"/>
      <c r="B119" s="142"/>
      <c r="C119" s="142"/>
      <c r="D119" s="142"/>
      <c r="E119" s="142"/>
      <c r="F119" s="142"/>
      <c r="G119" s="143"/>
      <c r="H119" s="143"/>
      <c r="I119" s="143"/>
      <c r="J119" s="143"/>
      <c r="K119" s="143"/>
      <c r="L119" s="143"/>
      <c r="M119" s="143"/>
      <c r="N119" s="143"/>
      <c r="O119" s="143"/>
      <c r="P119" s="144"/>
    </row>
    <row r="120" customFormat="false" ht="15.75" hidden="false" customHeight="true" outlineLevel="0" collapsed="false">
      <c r="A120" s="148"/>
      <c r="B120" s="142"/>
      <c r="C120" s="142"/>
      <c r="D120" s="142"/>
      <c r="E120" s="142"/>
      <c r="F120" s="142"/>
      <c r="G120" s="143"/>
      <c r="H120" s="143"/>
      <c r="I120" s="143"/>
      <c r="J120" s="143"/>
      <c r="K120" s="143"/>
      <c r="L120" s="143"/>
      <c r="M120" s="143"/>
      <c r="N120" s="143"/>
      <c r="O120" s="143"/>
      <c r="P120" s="144"/>
    </row>
    <row r="121" customFormat="false" ht="15.75" hidden="false" customHeight="true" outlineLevel="0" collapsed="false">
      <c r="A121" s="148"/>
      <c r="B121" s="142"/>
      <c r="C121" s="142"/>
      <c r="D121" s="142"/>
      <c r="E121" s="142"/>
      <c r="F121" s="142"/>
      <c r="G121" s="143"/>
      <c r="H121" s="143"/>
      <c r="I121" s="143"/>
      <c r="J121" s="143"/>
      <c r="K121" s="143"/>
      <c r="L121" s="143"/>
      <c r="M121" s="143"/>
      <c r="N121" s="143"/>
      <c r="O121" s="143"/>
      <c r="P121" s="144"/>
    </row>
    <row r="122" customFormat="false" ht="15.75" hidden="false" customHeight="true" outlineLevel="0" collapsed="false">
      <c r="A122" s="148"/>
      <c r="B122" s="142"/>
      <c r="C122" s="142"/>
      <c r="D122" s="142"/>
      <c r="E122" s="142"/>
      <c r="F122" s="142"/>
      <c r="G122" s="143"/>
      <c r="H122" s="143"/>
      <c r="I122" s="143"/>
      <c r="J122" s="143"/>
      <c r="K122" s="143"/>
      <c r="L122" s="143"/>
      <c r="M122" s="143"/>
      <c r="N122" s="143"/>
      <c r="O122" s="143"/>
      <c r="P122" s="144"/>
    </row>
    <row r="123" customFormat="false" ht="15.75" hidden="false" customHeight="true" outlineLevel="0" collapsed="false">
      <c r="A123" s="148"/>
      <c r="B123" s="142"/>
      <c r="C123" s="142"/>
      <c r="D123" s="142"/>
      <c r="E123" s="142"/>
      <c r="F123" s="142"/>
      <c r="G123" s="143"/>
      <c r="H123" s="143"/>
      <c r="I123" s="143"/>
      <c r="J123" s="143"/>
      <c r="K123" s="143"/>
      <c r="L123" s="143"/>
      <c r="M123" s="143"/>
      <c r="N123" s="143"/>
      <c r="O123" s="143"/>
      <c r="P123" s="144"/>
    </row>
    <row r="124" customFormat="false" ht="15.75" hidden="false" customHeight="true" outlineLevel="0" collapsed="false">
      <c r="A124" s="148"/>
      <c r="B124" s="142"/>
      <c r="C124" s="142"/>
      <c r="D124" s="142"/>
      <c r="E124" s="142"/>
      <c r="F124" s="142"/>
      <c r="G124" s="143"/>
      <c r="H124" s="143"/>
      <c r="I124" s="143"/>
      <c r="J124" s="143"/>
      <c r="K124" s="143"/>
      <c r="L124" s="143"/>
      <c r="M124" s="143"/>
      <c r="N124" s="143"/>
      <c r="O124" s="143"/>
      <c r="P124" s="144"/>
    </row>
    <row r="125" customFormat="false" ht="15.75" hidden="false" customHeight="true" outlineLevel="0" collapsed="false">
      <c r="A125" s="148"/>
      <c r="B125" s="142"/>
      <c r="C125" s="142"/>
      <c r="D125" s="142"/>
      <c r="E125" s="142"/>
      <c r="F125" s="142"/>
      <c r="G125" s="143"/>
      <c r="H125" s="143"/>
      <c r="I125" s="143"/>
      <c r="J125" s="143"/>
      <c r="K125" s="143"/>
      <c r="L125" s="143"/>
      <c r="M125" s="143"/>
      <c r="N125" s="143"/>
      <c r="O125" s="143"/>
      <c r="P125" s="144"/>
    </row>
    <row r="126" customFormat="false" ht="15.75" hidden="false" customHeight="true" outlineLevel="0" collapsed="false">
      <c r="A126" s="148"/>
      <c r="B126" s="142"/>
      <c r="C126" s="142"/>
      <c r="D126" s="142"/>
      <c r="E126" s="142"/>
      <c r="F126" s="142"/>
      <c r="G126" s="143"/>
      <c r="H126" s="143"/>
      <c r="I126" s="143"/>
      <c r="J126" s="143"/>
      <c r="K126" s="143"/>
      <c r="L126" s="143"/>
      <c r="M126" s="143"/>
      <c r="N126" s="143"/>
      <c r="O126" s="143"/>
      <c r="P126" s="144"/>
    </row>
    <row r="127" customFormat="false" ht="15.75" hidden="false" customHeight="true" outlineLevel="0" collapsed="false">
      <c r="A127" s="148"/>
      <c r="B127" s="142"/>
      <c r="C127" s="142"/>
      <c r="D127" s="142"/>
      <c r="E127" s="142"/>
      <c r="F127" s="142"/>
      <c r="G127" s="143"/>
      <c r="H127" s="143"/>
      <c r="I127" s="143"/>
      <c r="J127" s="143"/>
      <c r="K127" s="143"/>
      <c r="L127" s="143"/>
      <c r="M127" s="143"/>
      <c r="N127" s="143"/>
      <c r="O127" s="143"/>
      <c r="P127" s="144"/>
    </row>
    <row r="128" customFormat="false" ht="15.75" hidden="false" customHeight="true" outlineLevel="0" collapsed="false">
      <c r="A128" s="148"/>
      <c r="B128" s="142"/>
      <c r="C128" s="142"/>
      <c r="D128" s="142"/>
      <c r="E128" s="142"/>
      <c r="F128" s="142"/>
      <c r="G128" s="143"/>
      <c r="H128" s="143"/>
      <c r="I128" s="143"/>
      <c r="J128" s="143"/>
      <c r="K128" s="143"/>
      <c r="L128" s="143"/>
      <c r="M128" s="143"/>
      <c r="N128" s="143"/>
      <c r="O128" s="143"/>
      <c r="P128" s="144"/>
    </row>
    <row r="129" customFormat="false" ht="15.75" hidden="false" customHeight="true" outlineLevel="0" collapsed="false">
      <c r="A129" s="148"/>
      <c r="B129" s="142"/>
      <c r="C129" s="142"/>
      <c r="D129" s="142"/>
      <c r="E129" s="142"/>
      <c r="F129" s="142"/>
      <c r="G129" s="143"/>
      <c r="H129" s="143"/>
      <c r="I129" s="143"/>
      <c r="J129" s="143"/>
      <c r="K129" s="143"/>
      <c r="L129" s="143"/>
      <c r="M129" s="143"/>
      <c r="N129" s="143"/>
      <c r="O129" s="143"/>
      <c r="P129" s="144"/>
    </row>
    <row r="130" customFormat="false" ht="15.75" hidden="false" customHeight="true" outlineLevel="0" collapsed="false">
      <c r="A130" s="148"/>
      <c r="B130" s="142"/>
      <c r="C130" s="142"/>
      <c r="D130" s="142"/>
      <c r="E130" s="142"/>
      <c r="F130" s="142"/>
      <c r="G130" s="143"/>
      <c r="H130" s="143"/>
      <c r="I130" s="143"/>
      <c r="J130" s="143"/>
      <c r="K130" s="143"/>
      <c r="L130" s="143"/>
      <c r="M130" s="143"/>
      <c r="N130" s="143"/>
      <c r="O130" s="143"/>
      <c r="P130" s="144"/>
    </row>
    <row r="131" customFormat="false" ht="15.75" hidden="false" customHeight="true" outlineLevel="0" collapsed="false">
      <c r="A131" s="148"/>
      <c r="B131" s="142"/>
      <c r="C131" s="142"/>
      <c r="D131" s="142"/>
      <c r="E131" s="142"/>
      <c r="F131" s="142"/>
      <c r="G131" s="143"/>
      <c r="H131" s="143"/>
      <c r="I131" s="143"/>
      <c r="J131" s="143"/>
      <c r="K131" s="143"/>
      <c r="L131" s="143"/>
      <c r="M131" s="143"/>
      <c r="N131" s="143"/>
      <c r="O131" s="143"/>
      <c r="P131" s="144"/>
    </row>
    <row r="132" customFormat="false" ht="15.75" hidden="false" customHeight="true" outlineLevel="0" collapsed="false">
      <c r="A132" s="148"/>
      <c r="B132" s="142"/>
      <c r="C132" s="142"/>
      <c r="D132" s="142"/>
      <c r="E132" s="142"/>
      <c r="F132" s="142"/>
      <c r="G132" s="143"/>
      <c r="H132" s="143"/>
      <c r="I132" s="143"/>
      <c r="J132" s="143"/>
      <c r="K132" s="143"/>
      <c r="L132" s="143"/>
      <c r="M132" s="143"/>
      <c r="N132" s="143"/>
      <c r="O132" s="143"/>
      <c r="P132" s="144"/>
    </row>
    <row r="133" customFormat="false" ht="15.75" hidden="false" customHeight="true" outlineLevel="0" collapsed="false">
      <c r="A133" s="148"/>
      <c r="B133" s="142"/>
      <c r="C133" s="142"/>
      <c r="D133" s="142"/>
      <c r="E133" s="142"/>
      <c r="F133" s="142"/>
      <c r="G133" s="143"/>
      <c r="H133" s="143"/>
      <c r="I133" s="143"/>
      <c r="J133" s="143"/>
      <c r="K133" s="143"/>
      <c r="L133" s="143"/>
      <c r="M133" s="143"/>
      <c r="N133" s="143"/>
      <c r="O133" s="143"/>
      <c r="P133" s="144"/>
    </row>
    <row r="134" customFormat="false" ht="15.75" hidden="false" customHeight="true" outlineLevel="0" collapsed="false">
      <c r="A134" s="148"/>
      <c r="B134" s="142"/>
      <c r="C134" s="142"/>
      <c r="D134" s="142"/>
      <c r="E134" s="142"/>
      <c r="F134" s="142"/>
      <c r="G134" s="143"/>
      <c r="H134" s="143"/>
      <c r="I134" s="143"/>
      <c r="J134" s="143"/>
      <c r="K134" s="143"/>
      <c r="L134" s="143"/>
      <c r="M134" s="143"/>
      <c r="N134" s="143"/>
      <c r="O134" s="143"/>
      <c r="P134" s="144"/>
    </row>
    <row r="135" customFormat="false" ht="15.75" hidden="false" customHeight="true" outlineLevel="0" collapsed="false">
      <c r="A135" s="148"/>
      <c r="B135" s="142"/>
      <c r="C135" s="142"/>
      <c r="D135" s="142"/>
      <c r="E135" s="142"/>
      <c r="F135" s="142"/>
      <c r="G135" s="143"/>
      <c r="H135" s="143"/>
      <c r="I135" s="143"/>
      <c r="J135" s="143"/>
      <c r="K135" s="143"/>
      <c r="L135" s="143"/>
      <c r="M135" s="143"/>
      <c r="N135" s="143"/>
      <c r="O135" s="143"/>
      <c r="P135" s="144"/>
    </row>
    <row r="136" customFormat="false" ht="15.75" hidden="false" customHeight="true" outlineLevel="0" collapsed="false">
      <c r="A136" s="148"/>
      <c r="B136" s="142"/>
      <c r="C136" s="142"/>
      <c r="D136" s="142"/>
      <c r="E136" s="142"/>
      <c r="F136" s="142"/>
      <c r="G136" s="143"/>
      <c r="H136" s="143"/>
      <c r="I136" s="143"/>
      <c r="J136" s="143"/>
      <c r="K136" s="143"/>
      <c r="L136" s="143"/>
      <c r="M136" s="143"/>
      <c r="N136" s="143"/>
      <c r="O136" s="143"/>
      <c r="P136" s="144"/>
    </row>
    <row r="137" customFormat="false" ht="15.75" hidden="false" customHeight="true" outlineLevel="0" collapsed="false">
      <c r="A137" s="148"/>
      <c r="B137" s="142"/>
      <c r="C137" s="142"/>
      <c r="D137" s="142"/>
      <c r="E137" s="142"/>
      <c r="F137" s="142"/>
      <c r="G137" s="143"/>
      <c r="H137" s="143"/>
      <c r="I137" s="143"/>
      <c r="J137" s="143"/>
      <c r="K137" s="143"/>
      <c r="L137" s="143"/>
      <c r="M137" s="143"/>
      <c r="N137" s="143"/>
      <c r="O137" s="143"/>
      <c r="P137" s="144"/>
    </row>
    <row r="138" customFormat="false" ht="15.75" hidden="false" customHeight="true" outlineLevel="0" collapsed="false">
      <c r="A138" s="148"/>
      <c r="B138" s="142"/>
      <c r="C138" s="142"/>
      <c r="D138" s="142"/>
      <c r="E138" s="142"/>
      <c r="F138" s="142"/>
      <c r="G138" s="143"/>
      <c r="H138" s="143"/>
      <c r="I138" s="143"/>
      <c r="J138" s="143"/>
      <c r="K138" s="143"/>
      <c r="L138" s="143"/>
      <c r="M138" s="143"/>
      <c r="N138" s="143"/>
      <c r="O138" s="143"/>
      <c r="P138" s="144"/>
    </row>
    <row r="139" customFormat="false" ht="15.75" hidden="false" customHeight="true" outlineLevel="0" collapsed="false">
      <c r="A139" s="148"/>
      <c r="B139" s="142"/>
      <c r="C139" s="142"/>
      <c r="D139" s="142"/>
      <c r="E139" s="142"/>
      <c r="F139" s="142"/>
      <c r="G139" s="143"/>
      <c r="H139" s="143"/>
      <c r="I139" s="143"/>
      <c r="J139" s="143"/>
      <c r="K139" s="143"/>
      <c r="L139" s="143"/>
      <c r="M139" s="143"/>
      <c r="N139" s="143"/>
      <c r="O139" s="143"/>
      <c r="P139" s="144"/>
    </row>
    <row r="140" customFormat="false" ht="15.75" hidden="false" customHeight="true" outlineLevel="0" collapsed="false">
      <c r="A140" s="148"/>
      <c r="B140" s="142"/>
      <c r="C140" s="142"/>
      <c r="D140" s="142"/>
      <c r="E140" s="142"/>
      <c r="F140" s="142"/>
      <c r="G140" s="143"/>
      <c r="H140" s="143"/>
      <c r="I140" s="143"/>
      <c r="J140" s="143"/>
      <c r="K140" s="143"/>
      <c r="L140" s="143"/>
      <c r="M140" s="143"/>
      <c r="N140" s="143"/>
      <c r="O140" s="143"/>
      <c r="P140" s="144"/>
    </row>
    <row r="141" customFormat="false" ht="15.75" hidden="false" customHeight="true" outlineLevel="0" collapsed="false">
      <c r="A141" s="148"/>
      <c r="B141" s="142"/>
      <c r="C141" s="142"/>
      <c r="D141" s="142"/>
      <c r="E141" s="142"/>
      <c r="F141" s="142"/>
      <c r="G141" s="143"/>
      <c r="H141" s="143"/>
      <c r="I141" s="143"/>
      <c r="J141" s="143"/>
      <c r="K141" s="143"/>
      <c r="L141" s="143"/>
      <c r="M141" s="143"/>
      <c r="N141" s="143"/>
      <c r="O141" s="143"/>
      <c r="P141" s="144"/>
    </row>
    <row r="142" customFormat="false" ht="15.75" hidden="false" customHeight="true" outlineLevel="0" collapsed="false">
      <c r="A142" s="148"/>
      <c r="B142" s="142"/>
      <c r="C142" s="142"/>
      <c r="D142" s="142"/>
      <c r="E142" s="142"/>
      <c r="F142" s="142"/>
      <c r="G142" s="143"/>
      <c r="H142" s="143"/>
      <c r="I142" s="143"/>
      <c r="J142" s="143"/>
      <c r="K142" s="143"/>
      <c r="L142" s="143"/>
      <c r="M142" s="143"/>
      <c r="N142" s="143"/>
      <c r="O142" s="143"/>
      <c r="P142" s="144"/>
    </row>
    <row r="143" customFormat="false" ht="15.75" hidden="false" customHeight="true" outlineLevel="0" collapsed="false">
      <c r="A143" s="148"/>
      <c r="B143" s="142"/>
      <c r="C143" s="142"/>
      <c r="D143" s="142"/>
      <c r="E143" s="142"/>
      <c r="F143" s="142"/>
      <c r="G143" s="143"/>
      <c r="H143" s="143"/>
      <c r="I143" s="143"/>
      <c r="J143" s="143"/>
      <c r="K143" s="143"/>
      <c r="L143" s="143"/>
      <c r="M143" s="143"/>
      <c r="N143" s="143"/>
      <c r="O143" s="143"/>
      <c r="P143" s="144"/>
    </row>
    <row r="144" customFormat="false" ht="15.75" hidden="false" customHeight="true" outlineLevel="0" collapsed="false">
      <c r="A144" s="148"/>
      <c r="B144" s="142"/>
      <c r="C144" s="142"/>
      <c r="D144" s="142"/>
      <c r="E144" s="142"/>
      <c r="F144" s="142"/>
      <c r="G144" s="143"/>
      <c r="H144" s="143"/>
      <c r="I144" s="143"/>
      <c r="J144" s="143"/>
      <c r="K144" s="143"/>
      <c r="L144" s="143"/>
      <c r="M144" s="143"/>
      <c r="N144" s="143"/>
      <c r="O144" s="143"/>
      <c r="P144" s="144"/>
    </row>
    <row r="145" customFormat="false" ht="15.75" hidden="false" customHeight="true" outlineLevel="0" collapsed="false">
      <c r="A145" s="148"/>
      <c r="B145" s="142"/>
      <c r="C145" s="142"/>
      <c r="D145" s="142"/>
      <c r="E145" s="142"/>
      <c r="F145" s="142"/>
      <c r="G145" s="143"/>
      <c r="H145" s="143"/>
      <c r="I145" s="143"/>
      <c r="J145" s="143"/>
      <c r="K145" s="143"/>
      <c r="L145" s="143"/>
      <c r="M145" s="143"/>
      <c r="N145" s="143"/>
      <c r="O145" s="143"/>
      <c r="P145" s="144"/>
    </row>
    <row r="146" customFormat="false" ht="15.75" hidden="false" customHeight="true" outlineLevel="0" collapsed="false">
      <c r="A146" s="148"/>
      <c r="B146" s="142"/>
      <c r="C146" s="142"/>
      <c r="D146" s="142"/>
      <c r="E146" s="142"/>
      <c r="F146" s="142"/>
      <c r="G146" s="143"/>
      <c r="H146" s="143"/>
      <c r="I146" s="143"/>
      <c r="J146" s="143"/>
      <c r="K146" s="143"/>
      <c r="L146" s="143"/>
      <c r="M146" s="143"/>
      <c r="N146" s="143"/>
      <c r="O146" s="143"/>
      <c r="P146" s="144"/>
    </row>
    <row r="147" customFormat="false" ht="15.75" hidden="false" customHeight="true" outlineLevel="0" collapsed="false">
      <c r="A147" s="148"/>
      <c r="B147" s="142"/>
      <c r="C147" s="142"/>
      <c r="D147" s="142"/>
      <c r="E147" s="142"/>
      <c r="F147" s="142"/>
      <c r="G147" s="143"/>
      <c r="H147" s="143"/>
      <c r="I147" s="143"/>
      <c r="J147" s="143"/>
      <c r="K147" s="143"/>
      <c r="L147" s="143"/>
      <c r="M147" s="143"/>
      <c r="N147" s="143"/>
      <c r="O147" s="143"/>
      <c r="P147" s="144"/>
    </row>
    <row r="148" customFormat="false" ht="15.75" hidden="false" customHeight="true" outlineLevel="0" collapsed="false">
      <c r="A148" s="149"/>
      <c r="B148" s="150"/>
      <c r="C148" s="150"/>
      <c r="D148" s="150"/>
      <c r="E148" s="150"/>
      <c r="F148" s="150"/>
      <c r="G148" s="151"/>
      <c r="H148" s="151"/>
      <c r="I148" s="151"/>
      <c r="J148" s="151"/>
      <c r="K148" s="151"/>
      <c r="L148" s="151"/>
      <c r="M148" s="151"/>
      <c r="N148" s="151"/>
      <c r="O148" s="151"/>
      <c r="P148" s="152"/>
    </row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conditionalFormatting sqref="P2:P148">
    <cfRule type="cellIs" priority="2" operator="greaterThan" aboveAverage="0" equalAverage="0" bottom="0" percent="0" rank="0" text="" dxfId="4">
      <formula>1</formula>
    </cfRule>
  </conditionalFormatting>
  <conditionalFormatting sqref="I2:I148">
    <cfRule type="cellIs" priority="3" operator="lessThan" aboveAverage="0" equalAverage="0" bottom="0" percent="0" rank="0" text="" dxfId="4">
      <formula>70</formula>
    </cfRule>
  </conditionalFormatting>
  <conditionalFormatting sqref="H2:H58">
    <cfRule type="cellIs" priority="4" operator="greaterThan" aboveAverage="0" equalAverage="0" bottom="0" percent="0" rank="0" text="" dxfId="1">
      <formula>3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53125" defaultRowHeight="15" zeroHeight="false" outlineLevelRow="0" outlineLevelCol="0"/>
  <cols>
    <col collapsed="false" customWidth="true" hidden="false" outlineLevel="0" max="1" min="1" style="0" width="14.29"/>
    <col collapsed="false" customWidth="true" hidden="false" outlineLevel="0" max="2" min="2" style="0" width="39.57"/>
    <col collapsed="false" customWidth="true" hidden="false" outlineLevel="0" max="3" min="3" style="0" width="11.29"/>
    <col collapsed="false" customWidth="true" hidden="false" outlineLevel="0" max="4" min="4" style="0" width="8.7"/>
    <col collapsed="false" customWidth="true" hidden="false" outlineLevel="0" max="5" min="5" style="0" width="9.57"/>
    <col collapsed="false" customWidth="true" hidden="false" outlineLevel="0" max="6" min="6" style="0" width="9.29"/>
    <col collapsed="false" customWidth="true" hidden="false" outlineLevel="0" max="15" min="7" style="0" width="8.7"/>
    <col collapsed="false" customWidth="true" hidden="false" outlineLevel="0" max="16" min="16" style="0" width="8.57"/>
    <col collapsed="false" customWidth="true" hidden="false" outlineLevel="0" max="26" min="17" style="0" width="8.7"/>
  </cols>
  <sheetData>
    <row r="1" customFormat="false" ht="15" hidden="false" customHeight="false" outlineLevel="0" collapsed="false">
      <c r="A1" s="153" t="s">
        <v>178</v>
      </c>
      <c r="B1" s="153" t="s">
        <v>179</v>
      </c>
      <c r="C1" s="153" t="s">
        <v>8</v>
      </c>
      <c r="D1" s="153" t="s">
        <v>180</v>
      </c>
      <c r="E1" s="153" t="s">
        <v>34</v>
      </c>
      <c r="F1" s="153" t="s">
        <v>181</v>
      </c>
      <c r="G1" s="153" t="s">
        <v>24</v>
      </c>
      <c r="H1" s="153" t="s">
        <v>25</v>
      </c>
      <c r="I1" s="153" t="s">
        <v>26</v>
      </c>
      <c r="J1" s="153" t="s">
        <v>27</v>
      </c>
      <c r="K1" s="153" t="s">
        <v>28</v>
      </c>
      <c r="L1" s="153" t="s">
        <v>182</v>
      </c>
      <c r="M1" s="153" t="s">
        <v>30</v>
      </c>
      <c r="N1" s="153" t="s">
        <v>183</v>
      </c>
      <c r="O1" s="153" t="s">
        <v>32</v>
      </c>
      <c r="P1" s="153" t="s">
        <v>18</v>
      </c>
    </row>
    <row r="2" customFormat="false" ht="15" hidden="false" customHeight="false" outlineLevel="0" collapsed="false">
      <c r="A2" s="142" t="str">
        <f aca="false">'FlowCal Raw'!C2</f>
        <v>1.01.1</v>
      </c>
      <c r="B2" s="142" t="str">
        <f aca="false">'FlowCal Raw'!D2</f>
        <v>Gateway 22-2H</v>
      </c>
      <c r="C2" s="142" t="n">
        <f aca="false">'FlowCal Raw'!E2</f>
        <v>0</v>
      </c>
      <c r="D2" s="142" t="n">
        <f aca="false">'FlowCal Raw'!F2</f>
        <v>0</v>
      </c>
      <c r="E2" s="81" t="n">
        <f aca="false">'FlowCal Raw'!I2</f>
        <v>22.3561763237881</v>
      </c>
      <c r="F2" s="81" t="n">
        <f aca="false">'FlowCal Raw'!J2</f>
        <v>78.942673965167</v>
      </c>
      <c r="G2" s="154" t="n">
        <f aca="false">'FlowCal Raw'!DF2</f>
        <v>0.173</v>
      </c>
      <c r="H2" s="154" t="n">
        <f aca="false">'FlowCal Raw'!DG2</f>
        <v>0.583</v>
      </c>
      <c r="I2" s="154" t="n">
        <f aca="false">'FlowCal Raw'!DH2</f>
        <v>80.962</v>
      </c>
      <c r="J2" s="154" t="n">
        <f aca="false">'FlowCal Raw'!DI2</f>
        <v>10.678</v>
      </c>
      <c r="K2" s="154" t="n">
        <f aca="false">'FlowCal Raw'!DJ2</f>
        <v>3.898</v>
      </c>
      <c r="L2" s="154" t="n">
        <f aca="false">'FlowCal Raw'!DK2</f>
        <v>0.62</v>
      </c>
      <c r="M2" s="154" t="n">
        <f aca="false">'FlowCal Raw'!DL2</f>
        <v>1.089</v>
      </c>
      <c r="N2" s="154" t="n">
        <f aca="false">'FlowCal Raw'!DM2</f>
        <v>0.289</v>
      </c>
      <c r="O2" s="154" t="n">
        <f aca="false">'FlowCal Raw'!DN2</f>
        <v>0.314</v>
      </c>
      <c r="P2" s="154" t="n">
        <f aca="false">SUM('FlowCal Raw'!DO2:DT2)</f>
        <v>1.394</v>
      </c>
    </row>
    <row r="3" customFormat="false" ht="15" hidden="false" customHeight="false" outlineLevel="0" collapsed="false">
      <c r="A3" s="142" t="str">
        <f aca="false">'FlowCal Raw'!C3</f>
        <v>1.01.2</v>
      </c>
      <c r="B3" s="142" t="str">
        <f aca="false">'FlowCal Raw'!D3</f>
        <v>Gateway 38-2H</v>
      </c>
      <c r="C3" s="142" t="n">
        <f aca="false">'FlowCal Raw'!E3</f>
        <v>0</v>
      </c>
      <c r="D3" s="142" t="n">
        <f aca="false">'FlowCal Raw'!F3</f>
        <v>0</v>
      </c>
      <c r="E3" s="81" t="n">
        <f aca="false">'FlowCal Raw'!I3</f>
        <v>13.4219181999083</v>
      </c>
      <c r="F3" s="81" t="n">
        <f aca="false">'FlowCal Raw'!J3</f>
        <v>76.9571803154484</v>
      </c>
      <c r="G3" s="154" t="n">
        <f aca="false">'FlowCal Raw'!DF3</f>
        <v>0.1581</v>
      </c>
      <c r="H3" s="154" t="n">
        <f aca="false">'FlowCal Raw'!DG3</f>
        <v>2.7207</v>
      </c>
      <c r="I3" s="154" t="n">
        <f aca="false">'FlowCal Raw'!DH3</f>
        <v>79.9315</v>
      </c>
      <c r="J3" s="154" t="n">
        <f aca="false">'FlowCal Raw'!DI3</f>
        <v>10.7207</v>
      </c>
      <c r="K3" s="154" t="n">
        <f aca="false">'FlowCal Raw'!DJ3</f>
        <v>3.6801</v>
      </c>
      <c r="L3" s="154" t="n">
        <f aca="false">'FlowCal Raw'!DK3</f>
        <v>0.5513</v>
      </c>
      <c r="M3" s="154" t="n">
        <f aca="false">'FlowCal Raw'!DL3</f>
        <v>0.9395</v>
      </c>
      <c r="N3" s="154" t="n">
        <f aca="false">'FlowCal Raw'!DM3</f>
        <v>0.2186</v>
      </c>
      <c r="O3" s="154" t="n">
        <f aca="false">'FlowCal Raw'!DN3</f>
        <v>0.2183</v>
      </c>
      <c r="P3" s="154" t="n">
        <f aca="false">SUM('FlowCal Raw'!DO3:DT3)</f>
        <v>0.4913</v>
      </c>
    </row>
    <row r="4" customFormat="false" ht="15" hidden="false" customHeight="false" outlineLevel="0" collapsed="false">
      <c r="A4" s="142" t="str">
        <f aca="false">'FlowCal Raw'!C4</f>
        <v>1.01.3</v>
      </c>
      <c r="B4" s="142" t="str">
        <f aca="false">'FlowCal Raw'!D4</f>
        <v>Allman 24-68</v>
      </c>
      <c r="C4" s="142" t="n">
        <f aca="false">'FlowCal Raw'!E4</f>
        <v>46376.34</v>
      </c>
      <c r="D4" s="142" t="n">
        <f aca="false">'FlowCal Raw'!F4</f>
        <v>58016.8</v>
      </c>
      <c r="E4" s="81" t="n">
        <f aca="false">'FlowCal Raw'!I4</f>
        <v>90.3834337204179</v>
      </c>
      <c r="F4" s="81" t="n">
        <f aca="false">'FlowCal Raw'!J4</f>
        <v>77.1167436605302</v>
      </c>
      <c r="G4" s="154" t="n">
        <f aca="false">'FlowCal Raw'!DF4</f>
        <v>0.094</v>
      </c>
      <c r="H4" s="154" t="n">
        <f aca="false">'FlowCal Raw'!DG4</f>
        <v>0.589</v>
      </c>
      <c r="I4" s="154" t="n">
        <f aca="false">'FlowCal Raw'!DH4</f>
        <v>80.804</v>
      </c>
      <c r="J4" s="154" t="n">
        <f aca="false">'FlowCal Raw'!DI4</f>
        <v>10.688</v>
      </c>
      <c r="K4" s="154" t="n">
        <f aca="false">'FlowCal Raw'!DJ4</f>
        <v>4.16</v>
      </c>
      <c r="L4" s="154" t="n">
        <f aca="false">'FlowCal Raw'!DK4</f>
        <v>0.697</v>
      </c>
      <c r="M4" s="154" t="n">
        <f aca="false">'FlowCal Raw'!DL4</f>
        <v>1.341</v>
      </c>
      <c r="N4" s="154" t="n">
        <f aca="false">'FlowCal Raw'!DM4</f>
        <v>0.376</v>
      </c>
      <c r="O4" s="154" t="n">
        <f aca="false">'FlowCal Raw'!DN4</f>
        <v>0.415</v>
      </c>
      <c r="P4" s="154" t="n">
        <f aca="false">SUM('FlowCal Raw'!DO4:DT4)</f>
        <v>0.836</v>
      </c>
    </row>
    <row r="5" customFormat="false" ht="15" hidden="false" customHeight="false" outlineLevel="0" collapsed="false">
      <c r="A5" s="142" t="str">
        <f aca="false">'FlowCal Raw'!C5</f>
        <v>1.01.4</v>
      </c>
      <c r="B5" s="142" t="str">
        <f aca="false">'FlowCal Raw'!D5</f>
        <v>Johnny Cash 23-2H</v>
      </c>
      <c r="C5" s="142" t="n">
        <f aca="false">'FlowCal Raw'!E5</f>
        <v>0</v>
      </c>
      <c r="D5" s="142" t="n">
        <f aca="false">'FlowCal Raw'!F5</f>
        <v>0</v>
      </c>
      <c r="E5" s="81" t="n">
        <f aca="false">'FlowCal Raw'!I5</f>
        <v>13.3571218649546</v>
      </c>
      <c r="F5" s="81" t="n">
        <f aca="false">'FlowCal Raw'!J5</f>
        <v>78.8065221078934</v>
      </c>
      <c r="G5" s="154" t="n">
        <f aca="false">'FlowCal Raw'!DF5</f>
        <v>0.075</v>
      </c>
      <c r="H5" s="154" t="n">
        <f aca="false">'FlowCal Raw'!DG5</f>
        <v>0.598</v>
      </c>
      <c r="I5" s="154" t="n">
        <f aca="false">'FlowCal Raw'!DH5</f>
        <v>82.24</v>
      </c>
      <c r="J5" s="154" t="n">
        <f aca="false">'FlowCal Raw'!DI5</f>
        <v>10.975</v>
      </c>
      <c r="K5" s="154" t="n">
        <f aca="false">'FlowCal Raw'!DJ5</f>
        <v>4.042</v>
      </c>
      <c r="L5" s="154" t="n">
        <f aca="false">'FlowCal Raw'!DK5</f>
        <v>0.592</v>
      </c>
      <c r="M5" s="154" t="n">
        <f aca="false">'FlowCal Raw'!DL5</f>
        <v>1</v>
      </c>
      <c r="N5" s="154" t="n">
        <f aca="false">'FlowCal Raw'!DM5</f>
        <v>0.176</v>
      </c>
      <c r="O5" s="154" t="n">
        <f aca="false">'FlowCal Raw'!DN5</f>
        <v>0.17</v>
      </c>
      <c r="P5" s="154" t="n">
        <f aca="false">SUM('FlowCal Raw'!DO5:DT5)</f>
        <v>0.132</v>
      </c>
    </row>
    <row r="6" customFormat="false" ht="15" hidden="false" customHeight="false" outlineLevel="0" collapsed="false">
      <c r="A6" s="142" t="str">
        <f aca="false">'FlowCal Raw'!C6</f>
        <v>1.01.5</v>
      </c>
      <c r="B6" s="142" t="str">
        <f aca="false">'FlowCal Raw'!D6</f>
        <v>Muddy Waters 30-2H</v>
      </c>
      <c r="C6" s="142" t="n">
        <f aca="false">'FlowCal Raw'!E6</f>
        <v>16278.35</v>
      </c>
      <c r="D6" s="142" t="n">
        <f aca="false">'FlowCal Raw'!F6</f>
        <v>20543.28</v>
      </c>
      <c r="E6" s="81" t="n">
        <f aca="false">'FlowCal Raw'!I6</f>
        <v>94.6172602500156</v>
      </c>
      <c r="F6" s="81" t="n">
        <f aca="false">'FlowCal Raw'!J6</f>
        <v>81.4497945849687</v>
      </c>
      <c r="G6" s="154" t="n">
        <f aca="false">'FlowCal Raw'!DF6</f>
        <v>0.116</v>
      </c>
      <c r="H6" s="154" t="n">
        <f aca="false">'FlowCal Raw'!DG6</f>
        <v>0.607</v>
      </c>
      <c r="I6" s="154" t="n">
        <f aca="false">'FlowCal Raw'!DH6</f>
        <v>80.086</v>
      </c>
      <c r="J6" s="154" t="n">
        <f aca="false">'FlowCal Raw'!DI6</f>
        <v>10.925</v>
      </c>
      <c r="K6" s="154" t="n">
        <f aca="false">'FlowCal Raw'!DJ6</f>
        <v>4.435</v>
      </c>
      <c r="L6" s="154" t="n">
        <f aca="false">'FlowCal Raw'!DK6</f>
        <v>0.702</v>
      </c>
      <c r="M6" s="154" t="n">
        <f aca="false">'FlowCal Raw'!DL6</f>
        <v>1.436</v>
      </c>
      <c r="N6" s="154" t="n">
        <f aca="false">'FlowCal Raw'!DM6</f>
        <v>0.363</v>
      </c>
      <c r="O6" s="154" t="n">
        <f aca="false">'FlowCal Raw'!DN6</f>
        <v>0.448</v>
      </c>
      <c r="P6" s="154" t="n">
        <f aca="false">SUM('FlowCal Raw'!DO6:DT6)</f>
        <v>0.882</v>
      </c>
    </row>
    <row r="7" customFormat="false" ht="15" hidden="false" customHeight="false" outlineLevel="0" collapsed="false">
      <c r="A7" s="142" t="str">
        <f aca="false">'FlowCal Raw'!C7</f>
        <v>1.01.6</v>
      </c>
      <c r="B7" s="142" t="str">
        <f aca="false">'FlowCal Raw'!D7</f>
        <v>BB King 32-2H</v>
      </c>
      <c r="C7" s="142" t="n">
        <f aca="false">'FlowCal Raw'!E7</f>
        <v>12576.36</v>
      </c>
      <c r="D7" s="142" t="n">
        <f aca="false">'FlowCal Raw'!F7</f>
        <v>15619.84</v>
      </c>
      <c r="E7" s="81" t="n">
        <f aca="false">'FlowCal Raw'!I7</f>
        <v>93.7953254304999</v>
      </c>
      <c r="F7" s="81" t="n">
        <f aca="false">'FlowCal Raw'!J7</f>
        <v>80.6438741754455</v>
      </c>
      <c r="G7" s="154" t="n">
        <f aca="false">'FlowCal Raw'!DF7</f>
        <v>0.106</v>
      </c>
      <c r="H7" s="154" t="n">
        <f aca="false">'FlowCal Raw'!DG7</f>
        <v>0.649</v>
      </c>
      <c r="I7" s="154" t="n">
        <f aca="false">'FlowCal Raw'!DH7</f>
        <v>80.641</v>
      </c>
      <c r="J7" s="154" t="n">
        <f aca="false">'FlowCal Raw'!DI7</f>
        <v>10.992</v>
      </c>
      <c r="K7" s="154" t="n">
        <f aca="false">'FlowCal Raw'!DJ7</f>
        <v>4.336</v>
      </c>
      <c r="L7" s="154" t="n">
        <f aca="false">'FlowCal Raw'!DK7</f>
        <v>0.668</v>
      </c>
      <c r="M7" s="154" t="n">
        <f aca="false">'FlowCal Raw'!DL7</f>
        <v>1.343</v>
      </c>
      <c r="N7" s="154" t="n">
        <f aca="false">'FlowCal Raw'!DM7</f>
        <v>0.308</v>
      </c>
      <c r="O7" s="154" t="n">
        <f aca="false">'FlowCal Raw'!DN7</f>
        <v>0.352</v>
      </c>
      <c r="P7" s="154" t="n">
        <f aca="false">SUM('FlowCal Raw'!DO7:DT7)</f>
        <v>0.605</v>
      </c>
    </row>
    <row r="8" customFormat="false" ht="15" hidden="false" customHeight="false" outlineLevel="0" collapsed="false">
      <c r="A8" s="142" t="str">
        <f aca="false">'FlowCal Raw'!C8</f>
        <v>1.01.7</v>
      </c>
      <c r="B8" s="142" t="str">
        <f aca="false">'FlowCal Raw'!D8</f>
        <v>Santana 29-2H</v>
      </c>
      <c r="C8" s="142" t="n">
        <f aca="false">'FlowCal Raw'!E8</f>
        <v>24861.69</v>
      </c>
      <c r="D8" s="142" t="n">
        <f aca="false">'FlowCal Raw'!F8</f>
        <v>32195.89</v>
      </c>
      <c r="E8" s="81" t="n">
        <f aca="false">'FlowCal Raw'!I8</f>
        <v>92.7763482205855</v>
      </c>
      <c r="F8" s="81" t="n">
        <f aca="false">'FlowCal Raw'!J8</f>
        <v>75.0075733104629</v>
      </c>
      <c r="G8" s="154" t="n">
        <f aca="false">'FlowCal Raw'!DF8</f>
        <v>0.114</v>
      </c>
      <c r="H8" s="154" t="n">
        <f aca="false">'FlowCal Raw'!DG8</f>
        <v>0.576</v>
      </c>
      <c r="I8" s="154" t="n">
        <f aca="false">'FlowCal Raw'!DH8</f>
        <v>78.583</v>
      </c>
      <c r="J8" s="154" t="n">
        <f aca="false">'FlowCal Raw'!DI8</f>
        <v>11.327</v>
      </c>
      <c r="K8" s="154" t="n">
        <f aca="false">'FlowCal Raw'!DJ8</f>
        <v>4.8</v>
      </c>
      <c r="L8" s="154" t="n">
        <f aca="false">'FlowCal Raw'!DK8</f>
        <v>0.858</v>
      </c>
      <c r="M8" s="154" t="n">
        <f aca="false">'FlowCal Raw'!DL8</f>
        <v>1.633</v>
      </c>
      <c r="N8" s="154" t="n">
        <f aca="false">'FlowCal Raw'!DM8</f>
        <v>0.44</v>
      </c>
      <c r="O8" s="154" t="n">
        <f aca="false">'FlowCal Raw'!DN8</f>
        <v>0.502</v>
      </c>
      <c r="P8" s="154" t="n">
        <f aca="false">SUM('FlowCal Raw'!DO8:DT8)</f>
        <v>1.167</v>
      </c>
    </row>
    <row r="9" customFormat="false" ht="15" hidden="false" customHeight="false" outlineLevel="0" collapsed="false">
      <c r="A9" s="142" t="str">
        <f aca="false">'FlowCal Raw'!C9</f>
        <v>1.01.8</v>
      </c>
      <c r="B9" s="142" t="str">
        <f aca="false">'FlowCal Raw'!D9</f>
        <v>Orbison 28-6H</v>
      </c>
      <c r="C9" s="142" t="n">
        <f aca="false">'FlowCal Raw'!E9</f>
        <v>8689.66</v>
      </c>
      <c r="D9" s="142" t="n">
        <f aca="false">'FlowCal Raw'!F9</f>
        <v>10670.91</v>
      </c>
      <c r="E9" s="81" t="n">
        <f aca="false">'FlowCal Raw'!I9</f>
        <v>90.7908598746099</v>
      </c>
      <c r="F9" s="81" t="n">
        <f aca="false">'FlowCal Raw'!J9</f>
        <v>75.4517805073168</v>
      </c>
      <c r="G9" s="154" t="n">
        <f aca="false">'FlowCal Raw'!DF9</f>
        <v>0.063</v>
      </c>
      <c r="H9" s="154" t="n">
        <f aca="false">'FlowCal Raw'!DG9</f>
        <v>1.904</v>
      </c>
      <c r="I9" s="154" t="n">
        <f aca="false">'FlowCal Raw'!DH9</f>
        <v>79.513</v>
      </c>
      <c r="J9" s="154" t="n">
        <f aca="false">'FlowCal Raw'!DI9</f>
        <v>10.982</v>
      </c>
      <c r="K9" s="154" t="n">
        <f aca="false">'FlowCal Raw'!DJ9</f>
        <v>4.229</v>
      </c>
      <c r="L9" s="154" t="n">
        <f aca="false">'FlowCal Raw'!DK9</f>
        <v>0.698</v>
      </c>
      <c r="M9" s="154" t="n">
        <f aca="false">'FlowCal Raw'!DL9</f>
        <v>1.331</v>
      </c>
      <c r="N9" s="154" t="n">
        <f aca="false">'FlowCal Raw'!DM9</f>
        <v>0.336</v>
      </c>
      <c r="O9" s="154" t="n">
        <f aca="false">'FlowCal Raw'!DN9</f>
        <v>0.371</v>
      </c>
      <c r="P9" s="154" t="n">
        <f aca="false">SUM('FlowCal Raw'!DO9:DT9)</f>
        <v>0.573</v>
      </c>
    </row>
    <row r="10" customFormat="false" ht="15" hidden="false" customHeight="false" outlineLevel="0" collapsed="false">
      <c r="A10" s="142" t="str">
        <f aca="false">'FlowCal Raw'!C10</f>
        <v>1.01.9</v>
      </c>
      <c r="B10" s="142" t="str">
        <f aca="false">'FlowCal Raw'!D10</f>
        <v>Johnny Cash 2</v>
      </c>
      <c r="C10" s="142" t="n">
        <f aca="false">'FlowCal Raw'!E10</f>
        <v>411540.2</v>
      </c>
      <c r="D10" s="142" t="n">
        <f aca="false">'FlowCal Raw'!F10</f>
        <v>513190.63</v>
      </c>
      <c r="E10" s="81" t="n">
        <f aca="false">'FlowCal Raw'!I10</f>
        <v>91.9550793211202</v>
      </c>
      <c r="F10" s="81" t="n">
        <f aca="false">'FlowCal Raw'!J10</f>
        <v>79.9335406297994</v>
      </c>
      <c r="G10" s="154" t="n">
        <f aca="false">'FlowCal Raw'!DF10</f>
        <v>0.125</v>
      </c>
      <c r="H10" s="154" t="n">
        <f aca="false">'FlowCal Raw'!DG10</f>
        <v>0.582</v>
      </c>
      <c r="I10" s="154" t="n">
        <f aca="false">'FlowCal Raw'!DH10</f>
        <v>81.076</v>
      </c>
      <c r="J10" s="154" t="n">
        <f aca="false">'FlowCal Raw'!DI10</f>
        <v>10.555</v>
      </c>
      <c r="K10" s="154" t="n">
        <f aca="false">'FlowCal Raw'!DJ10</f>
        <v>4.037</v>
      </c>
      <c r="L10" s="154" t="n">
        <f aca="false">'FlowCal Raw'!DK10</f>
        <v>0.705</v>
      </c>
      <c r="M10" s="154" t="n">
        <f aca="false">'FlowCal Raw'!DL10</f>
        <v>1.318</v>
      </c>
      <c r="N10" s="154" t="n">
        <f aca="false">'FlowCal Raw'!DM10</f>
        <v>0.372</v>
      </c>
      <c r="O10" s="154" t="n">
        <f aca="false">'FlowCal Raw'!DN10</f>
        <v>0.396</v>
      </c>
      <c r="P10" s="154" t="n">
        <f aca="false">SUM('FlowCal Raw'!DO10:DT10)</f>
        <v>0.834</v>
      </c>
    </row>
    <row r="11" customFormat="false" ht="15" hidden="false" customHeight="false" outlineLevel="0" collapsed="false">
      <c r="A11" s="142" t="str">
        <f aca="false">'FlowCal Raw'!C11</f>
        <v>1.10.1</v>
      </c>
      <c r="B11" s="142" t="str">
        <f aca="false">'FlowCal Raw'!D11</f>
        <v>Cypress 33 A Sales</v>
      </c>
      <c r="C11" s="142" t="n">
        <f aca="false">'FlowCal Raw'!E11</f>
        <v>279240.52</v>
      </c>
      <c r="D11" s="142" t="n">
        <f aca="false">'FlowCal Raw'!F11</f>
        <v>366642.81</v>
      </c>
      <c r="E11" s="81" t="n">
        <f aca="false">'FlowCal Raw'!I11</f>
        <v>71.8741552947032</v>
      </c>
      <c r="F11" s="81" t="n">
        <f aca="false">'FlowCal Raw'!J11</f>
        <v>87.6852171364913</v>
      </c>
      <c r="G11" s="154" t="n">
        <f aca="false">'FlowCal Raw'!DF11</f>
        <v>0.118</v>
      </c>
      <c r="H11" s="154" t="n">
        <f aca="false">'FlowCal Raw'!DG11</f>
        <v>1.354</v>
      </c>
      <c r="I11" s="154" t="n">
        <f aca="false">'FlowCal Raw'!DH11</f>
        <v>77.045</v>
      </c>
      <c r="J11" s="154" t="n">
        <f aca="false">'FlowCal Raw'!DI11</f>
        <v>11.071</v>
      </c>
      <c r="K11" s="154" t="n">
        <f aca="false">'FlowCal Raw'!DJ11</f>
        <v>5.28</v>
      </c>
      <c r="L11" s="154" t="n">
        <f aca="false">'FlowCal Raw'!DK11</f>
        <v>0.813</v>
      </c>
      <c r="M11" s="154" t="n">
        <f aca="false">'FlowCal Raw'!DL11</f>
        <v>1.736</v>
      </c>
      <c r="N11" s="154" t="n">
        <f aca="false">'FlowCal Raw'!DM11</f>
        <v>0.458</v>
      </c>
      <c r="O11" s="154" t="n">
        <f aca="false">'FlowCal Raw'!DN11</f>
        <v>0.526</v>
      </c>
      <c r="P11" s="154" t="n">
        <f aca="false">SUM('FlowCal Raw'!DO11:DT11)</f>
        <v>1.599</v>
      </c>
    </row>
    <row r="12" customFormat="false" ht="15" hidden="false" customHeight="false" outlineLevel="0" collapsed="false">
      <c r="A12" s="142" t="str">
        <f aca="false">'FlowCal Raw'!C12</f>
        <v>10.00.1</v>
      </c>
      <c r="B12" s="142" t="str">
        <f aca="false">'FlowCal Raw'!D12</f>
        <v>EPNG Check MTR #1</v>
      </c>
      <c r="C12" s="142" t="n">
        <f aca="false">'FlowCal Raw'!E12</f>
        <v>428115.53</v>
      </c>
      <c r="D12" s="142" t="n">
        <f aca="false">'FlowCal Raw'!F12</f>
        <v>440602.56</v>
      </c>
      <c r="E12" s="81" t="n">
        <f aca="false">'FlowCal Raw'!I12</f>
        <v>969.165145128041</v>
      </c>
      <c r="F12" s="81" t="n">
        <f aca="false">'FlowCal Raw'!J12</f>
        <v>84.2583077291795</v>
      </c>
      <c r="G12" s="154" t="n">
        <f aca="false">'FlowCal Raw'!DF12</f>
        <v>0.0285732509006481</v>
      </c>
      <c r="H12" s="154" t="n">
        <f aca="false">'FlowCal Raw'!DG12</f>
        <v>1.02865763118742</v>
      </c>
      <c r="I12" s="154" t="n">
        <f aca="false">'FlowCal Raw'!DH12</f>
        <v>95.6932924120128</v>
      </c>
      <c r="J12" s="154" t="n">
        <f aca="false">'FlowCal Raw'!DI12</f>
        <v>3.16200507248809</v>
      </c>
      <c r="K12" s="154" t="n">
        <f aca="false">'FlowCal Raw'!DJ12</f>
        <v>0.08374272705963</v>
      </c>
      <c r="L12" s="154" t="n">
        <f aca="false">'FlowCal Raw'!DK12</f>
        <v>0.00150567037786595</v>
      </c>
      <c r="M12" s="154" t="n">
        <f aca="false">'FlowCal Raw'!DL12</f>
        <v>0.00212936679327564</v>
      </c>
      <c r="N12" s="154" t="n">
        <f aca="false">'FlowCal Raw'!DM12</f>
        <v>4.73295387984469E-005</v>
      </c>
      <c r="O12" s="154" t="n">
        <f aca="false">'FlowCal Raw'!DN12</f>
        <v>4.38986942305306E-005</v>
      </c>
      <c r="P12" s="154" t="n">
        <f aca="false">SUM('FlowCal Raw'!DO12:DT12)</f>
        <v>2.70613906720087E-006</v>
      </c>
    </row>
    <row r="13" customFormat="false" ht="15" hidden="false" customHeight="false" outlineLevel="0" collapsed="false">
      <c r="A13" s="142" t="str">
        <f aca="false">'FlowCal Raw'!C13</f>
        <v>10.00.2</v>
      </c>
      <c r="B13" s="142" t="str">
        <f aca="false">'FlowCal Raw'!D13</f>
        <v>EPNG Check MTR #2</v>
      </c>
      <c r="C13" s="142" t="n">
        <f aca="false">'FlowCal Raw'!E13</f>
        <v>4239406.28</v>
      </c>
      <c r="D13" s="142" t="n">
        <f aca="false">'FlowCal Raw'!F13</f>
        <v>4363011.77</v>
      </c>
      <c r="E13" s="81" t="n">
        <f aca="false">'FlowCal Raw'!I13</f>
        <v>968.819125051007</v>
      </c>
      <c r="F13" s="81" t="n">
        <f aca="false">'FlowCal Raw'!J13</f>
        <v>83.8708269302842</v>
      </c>
      <c r="G13" s="154" t="n">
        <f aca="false">'FlowCal Raw'!DF13</f>
        <v>0.0282736501177807</v>
      </c>
      <c r="H13" s="154" t="n">
        <f aca="false">'FlowCal Raw'!DG13</f>
        <v>1.02866362817266</v>
      </c>
      <c r="I13" s="154" t="n">
        <f aca="false">'FlowCal Raw'!DH13</f>
        <v>95.6950640053272</v>
      </c>
      <c r="J13" s="154" t="n">
        <f aca="false">'FlowCal Raw'!DI13</f>
        <v>3.16065250945488</v>
      </c>
      <c r="K13" s="154" t="n">
        <f aca="false">'FlowCal Raw'!DJ13</f>
        <v>0.0836228328705957</v>
      </c>
      <c r="L13" s="154" t="n">
        <f aca="false">'FlowCal Raw'!DK13</f>
        <v>0.00150355438898487</v>
      </c>
      <c r="M13" s="154" t="n">
        <f aca="false">'FlowCal Raw'!DL13</f>
        <v>0.00212679146879362</v>
      </c>
      <c r="N13" s="154" t="n">
        <f aca="false">'FlowCal Raw'!DM13</f>
        <v>4.68905800271209E-005</v>
      </c>
      <c r="O13" s="154" t="n">
        <f aca="false">'FlowCal Raw'!DN13</f>
        <v>4.35256016415786E-005</v>
      </c>
      <c r="P13" s="154" t="n">
        <f aca="false">SUM('FlowCal Raw'!DO13:DT13)</f>
        <v>2.67739865099955E-006</v>
      </c>
    </row>
    <row r="14" customFormat="false" ht="15" hidden="false" customHeight="false" outlineLevel="0" collapsed="false">
      <c r="A14" s="142" t="str">
        <f aca="false">'FlowCal Raw'!C14</f>
        <v>10.00.3</v>
      </c>
      <c r="B14" s="142" t="str">
        <f aca="false">'FlowCal Raw'!D14</f>
        <v>ONEOK Check MTR #1</v>
      </c>
      <c r="C14" s="142" t="n">
        <f aca="false">'FlowCal Raw'!E14</f>
        <v>1887090.82</v>
      </c>
      <c r="D14" s="142" t="n">
        <f aca="false">'FlowCal Raw'!F14</f>
        <v>1945942.1</v>
      </c>
      <c r="E14" s="81" t="n">
        <f aca="false">'FlowCal Raw'!I14</f>
        <v>1137.88998708103</v>
      </c>
      <c r="F14" s="81" t="n">
        <f aca="false">'FlowCal Raw'!J14</f>
        <v>93.8072183291017</v>
      </c>
      <c r="G14" s="154" t="n">
        <f aca="false">'FlowCal Raw'!DF14</f>
        <v>0.0321891147071353</v>
      </c>
      <c r="H14" s="154" t="n">
        <f aca="false">'FlowCal Raw'!DG14</f>
        <v>0.986336652598509</v>
      </c>
      <c r="I14" s="154" t="n">
        <f aca="false">'FlowCal Raw'!DH14</f>
        <v>93.8495223864989</v>
      </c>
      <c r="J14" s="154" t="n">
        <f aca="false">'FlowCal Raw'!DI14</f>
        <v>3.33440905553148</v>
      </c>
      <c r="K14" s="154" t="n">
        <f aca="false">'FlowCal Raw'!DJ14</f>
        <v>0.0840881397766082</v>
      </c>
      <c r="L14" s="154" t="n">
        <f aca="false">'FlowCal Raw'!DK14</f>
        <v>0.00142474183058214</v>
      </c>
      <c r="M14" s="154" t="n">
        <f aca="false">'FlowCal Raw'!DL14</f>
        <v>0.00114016648940022</v>
      </c>
      <c r="N14" s="154" t="n">
        <f aca="false">'FlowCal Raw'!DM14</f>
        <v>6.97184789235642E-007</v>
      </c>
      <c r="O14" s="154" t="n">
        <f aca="false">'FlowCal Raw'!DN14</f>
        <v>1.20083484727841E-006</v>
      </c>
      <c r="P14" s="154" t="n">
        <f aca="false">SUM('FlowCal Raw'!DO14:DT14)</f>
        <v>0</v>
      </c>
    </row>
    <row r="15" customFormat="false" ht="15" hidden="false" customHeight="false" outlineLevel="0" collapsed="false">
      <c r="A15" s="142" t="str">
        <f aca="false">'FlowCal Raw'!C15</f>
        <v>10.00.4</v>
      </c>
      <c r="B15" s="142" t="str">
        <f aca="false">'FlowCal Raw'!D15</f>
        <v>ONEOK Check MTR #2</v>
      </c>
      <c r="C15" s="142" t="n">
        <f aca="false">'FlowCal Raw'!E15</f>
        <v>669315.42</v>
      </c>
      <c r="D15" s="142" t="n">
        <f aca="false">'FlowCal Raw'!F15</f>
        <v>695762.62</v>
      </c>
      <c r="E15" s="81" t="n">
        <f aca="false">'FlowCal Raw'!I15</f>
        <v>1167.9177536833</v>
      </c>
      <c r="F15" s="81" t="n">
        <f aca="false">'FlowCal Raw'!J15</f>
        <v>99.3192017667496</v>
      </c>
      <c r="G15" s="154" t="n">
        <f aca="false">'FlowCal Raw'!DF15</f>
        <v>0.099327001414739</v>
      </c>
      <c r="H15" s="154" t="n">
        <f aca="false">'FlowCal Raw'!DG15</f>
        <v>0.982501221169082</v>
      </c>
      <c r="I15" s="154" t="n">
        <f aca="false">'FlowCal Raw'!DH15</f>
        <v>92.6994576653776</v>
      </c>
      <c r="J15" s="154" t="n">
        <f aca="false">'FlowCal Raw'!DI15</f>
        <v>4.37350142624641</v>
      </c>
      <c r="K15" s="154" t="n">
        <f aca="false">'FlowCal Raw'!DJ15</f>
        <v>0.141094531736112</v>
      </c>
      <c r="L15" s="154" t="n">
        <f aca="false">'FlowCal Raw'!DK15</f>
        <v>0.00243179512674213</v>
      </c>
      <c r="M15" s="154" t="n">
        <f aca="false">'FlowCal Raw'!DL15</f>
        <v>0.00211579443425881</v>
      </c>
      <c r="N15" s="154" t="n">
        <f aca="false">'FlowCal Raw'!DM15</f>
        <v>5.57557147541569E-006</v>
      </c>
      <c r="O15" s="154" t="n">
        <f aca="false">'FlowCal Raw'!DN15</f>
        <v>0</v>
      </c>
      <c r="P15" s="154" t="n">
        <f aca="false">SUM('FlowCal Raw'!DO15:DT15)</f>
        <v>0</v>
      </c>
    </row>
    <row r="16" customFormat="false" ht="15" hidden="false" customHeight="false" outlineLevel="0" collapsed="false">
      <c r="A16" s="142" t="str">
        <f aca="false">'FlowCal Raw'!C16</f>
        <v>2.02.6</v>
      </c>
      <c r="B16" s="142" t="str">
        <f aca="false">'FlowCal Raw'!D16</f>
        <v>Pinon CDP #1</v>
      </c>
      <c r="C16" s="142" t="n">
        <f aca="false">'FlowCal Raw'!E16</f>
        <v>1151339.8</v>
      </c>
      <c r="D16" s="142" t="n">
        <f aca="false">'FlowCal Raw'!F16</f>
        <v>1449805.67</v>
      </c>
      <c r="E16" s="81" t="n">
        <f aca="false">'FlowCal Raw'!I16</f>
        <v>1152.686725567</v>
      </c>
      <c r="F16" s="81" t="n">
        <f aca="false">'FlowCal Raw'!J16</f>
        <v>103.958267604457</v>
      </c>
      <c r="G16" s="154" t="n">
        <f aca="false">'FlowCal Raw'!DF16</f>
        <v>0.815046438899443</v>
      </c>
      <c r="H16" s="154" t="n">
        <f aca="false">'FlowCal Raw'!DG16</f>
        <v>1.09182948492832</v>
      </c>
      <c r="I16" s="154" t="n">
        <f aca="false">'FlowCal Raw'!DH16</f>
        <v>79.1761940127324</v>
      </c>
      <c r="J16" s="154" t="n">
        <f aca="false">'FlowCal Raw'!DI16</f>
        <v>9.43309602648388</v>
      </c>
      <c r="K16" s="154" t="n">
        <f aca="false">'FlowCal Raw'!DJ16</f>
        <v>5.05057468460211</v>
      </c>
      <c r="L16" s="154" t="n">
        <f aca="false">'FlowCal Raw'!DK16</f>
        <v>0.949274743767535</v>
      </c>
      <c r="M16" s="154" t="n">
        <f aca="false">'FlowCal Raw'!DL16</f>
        <v>1.7945837994806</v>
      </c>
      <c r="N16" s="154" t="n">
        <f aca="false">'FlowCal Raw'!DM16</f>
        <v>0.597222247268506</v>
      </c>
      <c r="O16" s="154" t="n">
        <f aca="false">'FlowCal Raw'!DN16</f>
        <v>0.454581941798881</v>
      </c>
      <c r="P16" s="154" t="n">
        <f aca="false">SUM('FlowCal Raw'!DO16:DT16)</f>
        <v>0.63760771744079</v>
      </c>
    </row>
    <row r="17" customFormat="false" ht="15" hidden="false" customHeight="false" outlineLevel="0" collapsed="false">
      <c r="A17" s="142" t="str">
        <f aca="false">'FlowCal Raw'!C17</f>
        <v>2.02.7</v>
      </c>
      <c r="B17" s="142" t="str">
        <f aca="false">'FlowCal Raw'!D17</f>
        <v>Pinon CDP #2</v>
      </c>
      <c r="C17" s="142" t="n">
        <f aca="false">'FlowCal Raw'!E17</f>
        <v>131184.94</v>
      </c>
      <c r="D17" s="142" t="n">
        <f aca="false">'FlowCal Raw'!F17</f>
        <v>165191.8</v>
      </c>
      <c r="E17" s="81" t="n">
        <f aca="false">'FlowCal Raw'!I17</f>
        <v>1152.59191602113</v>
      </c>
      <c r="F17" s="81" t="n">
        <f aca="false">'FlowCal Raw'!J17</f>
        <v>103.970331203093</v>
      </c>
      <c r="G17" s="154" t="n">
        <f aca="false">'FlowCal Raw'!DF17</f>
        <v>0.815284680039878</v>
      </c>
      <c r="H17" s="154" t="n">
        <f aca="false">'FlowCal Raw'!DG17</f>
        <v>1.0917341115764</v>
      </c>
      <c r="I17" s="154" t="n">
        <f aca="false">'FlowCal Raw'!DH17</f>
        <v>79.1767516200042</v>
      </c>
      <c r="J17" s="154" t="n">
        <f aca="false">'FlowCal Raw'!DI17</f>
        <v>9.43254437363945</v>
      </c>
      <c r="K17" s="154" t="n">
        <f aca="false">'FlowCal Raw'!DJ17</f>
        <v>5.05028694260133</v>
      </c>
      <c r="L17" s="154" t="n">
        <f aca="false">'FlowCal Raw'!DK17</f>
        <v>0.949303908427994</v>
      </c>
      <c r="M17" s="154" t="n">
        <f aca="false">'FlowCal Raw'!DL17</f>
        <v>1.79456191047132</v>
      </c>
      <c r="N17" s="154" t="n">
        <f aca="false">'FlowCal Raw'!DM17</f>
        <v>0.597265415316484</v>
      </c>
      <c r="O17" s="154" t="n">
        <f aca="false">'FlowCal Raw'!DN17</f>
        <v>0.454600379547278</v>
      </c>
      <c r="P17" s="154" t="n">
        <f aca="false">SUM('FlowCal Raw'!DO17:DT17)</f>
        <v>0.637677767565951</v>
      </c>
      <c r="Q17" s="125"/>
    </row>
    <row r="18" customFormat="false" ht="15" hidden="false" customHeight="false" outlineLevel="0" collapsed="false">
      <c r="A18" s="142" t="str">
        <f aca="false">'FlowCal Raw'!C18</f>
        <v>2.03.1</v>
      </c>
      <c r="B18" s="142" t="str">
        <f aca="false">'FlowCal Raw'!D18</f>
        <v>Cosmo CDP MTR #1</v>
      </c>
      <c r="C18" s="142" t="n">
        <f aca="false">'FlowCal Raw'!E18</f>
        <v>346861.43</v>
      </c>
      <c r="D18" s="142" t="n">
        <f aca="false">'FlowCal Raw'!F18</f>
        <v>433604.99</v>
      </c>
      <c r="E18" s="81" t="n">
        <f aca="false">'FlowCal Raw'!I18</f>
        <v>977.042301992486</v>
      </c>
      <c r="F18" s="81" t="n">
        <f aca="false">'FlowCal Raw'!J18</f>
        <v>95.8978307126668</v>
      </c>
      <c r="G18" s="154" t="n">
        <f aca="false">'FlowCal Raw'!DF18</f>
        <v>0.0159192614542988</v>
      </c>
      <c r="H18" s="154" t="n">
        <f aca="false">'FlowCal Raw'!DG18</f>
        <v>0.605452788952156</v>
      </c>
      <c r="I18" s="154" t="n">
        <f aca="false">'FlowCal Raw'!DH18</f>
        <v>80.7794008690854</v>
      </c>
      <c r="J18" s="154" t="n">
        <f aca="false">'FlowCal Raw'!DI18</f>
        <v>10.5911154496617</v>
      </c>
      <c r="K18" s="154" t="n">
        <f aca="false">'FlowCal Raw'!DJ18</f>
        <v>4.41724218760527</v>
      </c>
      <c r="L18" s="154" t="n">
        <f aca="false">'FlowCal Raw'!DK18</f>
        <v>0.69687775287813</v>
      </c>
      <c r="M18" s="154" t="n">
        <f aca="false">'FlowCal Raw'!DL18</f>
        <v>1.47066420865023</v>
      </c>
      <c r="N18" s="154" t="n">
        <f aca="false">'FlowCal Raw'!DM18</f>
        <v>0.371587871304939</v>
      </c>
      <c r="O18" s="154" t="n">
        <f aca="false">'FlowCal Raw'!DN18</f>
        <v>0.43461843104407</v>
      </c>
      <c r="P18" s="154" t="n">
        <f aca="false">SUM('FlowCal Raw'!DO18:DT18)</f>
        <v>0.617121665503266</v>
      </c>
    </row>
    <row r="19" customFormat="false" ht="15" hidden="false" customHeight="false" outlineLevel="0" collapsed="false">
      <c r="A19" s="142" t="str">
        <f aca="false">'FlowCal Raw'!C19</f>
        <v>2.03.2</v>
      </c>
      <c r="B19" s="142" t="str">
        <f aca="false">'FlowCal Raw'!D19</f>
        <v>Cosmo CDP MTR #2</v>
      </c>
      <c r="C19" s="142" t="n">
        <f aca="false">'FlowCal Raw'!E19</f>
        <v>0</v>
      </c>
      <c r="D19" s="142" t="n">
        <f aca="false">'FlowCal Raw'!F19</f>
        <v>0</v>
      </c>
      <c r="E19" s="81" t="n">
        <f aca="false">'FlowCal Raw'!I19</f>
        <v>13.9586288300894</v>
      </c>
      <c r="F19" s="81" t="n">
        <f aca="false">'FlowCal Raw'!J19</f>
        <v>77.4445861539533</v>
      </c>
      <c r="G19" s="154" t="n">
        <f aca="false">'FlowCal Raw'!DF19</f>
        <v>0.0158747460440262</v>
      </c>
      <c r="H19" s="154" t="n">
        <f aca="false">'FlowCal Raw'!DG19</f>
        <v>0.605738110039183</v>
      </c>
      <c r="I19" s="154" t="n">
        <f aca="false">'FlowCal Raw'!DH19</f>
        <v>80.7971468176893</v>
      </c>
      <c r="J19" s="154" t="n">
        <f aca="false">'FlowCal Raw'!DI19</f>
        <v>10.5877152912078</v>
      </c>
      <c r="K19" s="154" t="n">
        <f aca="false">'FlowCal Raw'!DJ19</f>
        <v>4.41222034282582</v>
      </c>
      <c r="L19" s="154" t="n">
        <f aca="false">'FlowCal Raw'!DK19</f>
        <v>0.695783665263525</v>
      </c>
      <c r="M19" s="154" t="n">
        <f aca="false">'FlowCal Raw'!DL19</f>
        <v>1.46754235926495</v>
      </c>
      <c r="N19" s="154" t="n">
        <f aca="false">'FlowCal Raw'!DM19</f>
        <v>0.370649128271047</v>
      </c>
      <c r="O19" s="154" t="n">
        <f aca="false">'FlowCal Raw'!DN19</f>
        <v>0.433409774535766</v>
      </c>
      <c r="P19" s="154" t="n">
        <f aca="false">SUM('FlowCal Raw'!DO19:DT19)</f>
        <v>0.613919309019962</v>
      </c>
    </row>
    <row r="20" customFormat="false" ht="15" hidden="false" customHeight="false" outlineLevel="0" collapsed="false">
      <c r="A20" s="142" t="str">
        <f aca="false">'FlowCal Raw'!C20</f>
        <v>2.03.3</v>
      </c>
      <c r="B20" s="142" t="str">
        <f aca="false">'FlowCal Raw'!D20</f>
        <v>Four Points CDP MTR #1</v>
      </c>
      <c r="C20" s="142" t="n">
        <f aca="false">'FlowCal Raw'!E20</f>
        <v>294377.62</v>
      </c>
      <c r="D20" s="142" t="n">
        <f aca="false">'FlowCal Raw'!F20</f>
        <v>369069.05</v>
      </c>
      <c r="E20" s="81" t="n">
        <f aca="false">'FlowCal Raw'!I20</f>
        <v>978.056360050745</v>
      </c>
      <c r="F20" s="81" t="n">
        <f aca="false">'FlowCal Raw'!J20</f>
        <v>98.7163792291282</v>
      </c>
      <c r="G20" s="154" t="n">
        <f aca="false">'FlowCal Raw'!DF20</f>
        <v>0.00978614999412378</v>
      </c>
      <c r="H20" s="154" t="n">
        <f aca="false">'FlowCal Raw'!DG20</f>
        <v>0.589076111622202</v>
      </c>
      <c r="I20" s="154" t="n">
        <f aca="false">'FlowCal Raw'!DH20</f>
        <v>80.6150901073344</v>
      </c>
      <c r="J20" s="154" t="n">
        <f aca="false">'FlowCal Raw'!DI20</f>
        <v>10.6346550546324</v>
      </c>
      <c r="K20" s="154" t="n">
        <f aca="false">'FlowCal Raw'!DJ20</f>
        <v>4.4701231263416</v>
      </c>
      <c r="L20" s="154" t="n">
        <f aca="false">'FlowCal Raw'!DK20</f>
        <v>0.715498525388372</v>
      </c>
      <c r="M20" s="154" t="n">
        <f aca="false">'FlowCal Raw'!DL20</f>
        <v>1.5140556198984</v>
      </c>
      <c r="N20" s="154" t="n">
        <f aca="false">'FlowCal Raw'!DM20</f>
        <v>0.383944926826199</v>
      </c>
      <c r="O20" s="154" t="n">
        <f aca="false">'FlowCal Raw'!DN20</f>
        <v>0.451328174136267</v>
      </c>
      <c r="P20" s="154" t="n">
        <f aca="false">SUM('FlowCal Raw'!DO20:DT20)</f>
        <v>0.616442599128654</v>
      </c>
    </row>
    <row r="21" customFormat="false" ht="15.75" hidden="false" customHeight="true" outlineLevel="0" collapsed="false">
      <c r="A21" s="142" t="str">
        <f aca="false">'FlowCal Raw'!C21</f>
        <v>2.03.4</v>
      </c>
      <c r="B21" s="142" t="str">
        <f aca="false">'FlowCal Raw'!D21</f>
        <v>Four Points CDP MTR #2</v>
      </c>
      <c r="C21" s="142" t="n">
        <f aca="false">'FlowCal Raw'!E21</f>
        <v>0</v>
      </c>
      <c r="D21" s="142" t="n">
        <f aca="false">'FlowCal Raw'!F21</f>
        <v>0</v>
      </c>
      <c r="E21" s="81" t="n">
        <f aca="false">'FlowCal Raw'!I21</f>
        <v>184.203363110942</v>
      </c>
      <c r="F21" s="81" t="n">
        <f aca="false">'FlowCal Raw'!J21</f>
        <v>77.8166707818226</v>
      </c>
      <c r="G21" s="154" t="n">
        <f aca="false">'FlowCal Raw'!DF21</f>
        <v>0.11259999871254</v>
      </c>
      <c r="H21" s="154" t="n">
        <f aca="false">'FlowCal Raw'!DG21</f>
        <v>0.621500015258789</v>
      </c>
      <c r="I21" s="154" t="n">
        <f aca="false">'FlowCal Raw'!DH21</f>
        <v>79.1595001220703</v>
      </c>
      <c r="J21" s="154" t="n">
        <f aca="false">'FlowCal Raw'!DI21</f>
        <v>10.7407999038696</v>
      </c>
      <c r="K21" s="154" t="n">
        <f aca="false">'FlowCal Raw'!DJ21</f>
        <v>4.7878999710083</v>
      </c>
      <c r="L21" s="154" t="n">
        <f aca="false">'FlowCal Raw'!DK21</f>
        <v>0.769400000572205</v>
      </c>
      <c r="M21" s="154" t="n">
        <f aca="false">'FlowCal Raw'!DL21</f>
        <v>1.67200005054474</v>
      </c>
      <c r="N21" s="154" t="n">
        <f aca="false">'FlowCal Raw'!DM21</f>
        <v>0.427799999713898</v>
      </c>
      <c r="O21" s="154" t="n">
        <f aca="false">'FlowCal Raw'!DN21</f>
        <v>1.05280005931854</v>
      </c>
      <c r="P21" s="154" t="n">
        <f aca="false">SUM('FlowCal Raw'!DO21:DT21)</f>
        <v>0.655700027942657</v>
      </c>
    </row>
    <row r="22" customFormat="false" ht="15.75" hidden="false" customHeight="true" outlineLevel="0" collapsed="false">
      <c r="A22" s="142" t="str">
        <f aca="false">'FlowCal Raw'!C22</f>
        <v>2.03.5</v>
      </c>
      <c r="B22" s="142" t="str">
        <f aca="false">'FlowCal Raw'!D22</f>
        <v>Wise West CDP MTR # 1</v>
      </c>
      <c r="C22" s="142" t="n">
        <f aca="false">'FlowCal Raw'!E22</f>
        <v>0</v>
      </c>
      <c r="D22" s="142" t="n">
        <f aca="false">'FlowCal Raw'!F22</f>
        <v>0</v>
      </c>
      <c r="E22" s="81" t="n">
        <f aca="false">'FlowCal Raw'!I22</f>
        <v>945.909429324571</v>
      </c>
      <c r="F22" s="81" t="n">
        <f aca="false">'FlowCal Raw'!J22</f>
        <v>76.9860555382185</v>
      </c>
      <c r="G22" s="154" t="n">
        <f aca="false">'FlowCal Raw'!DF22</f>
        <v>0.359</v>
      </c>
      <c r="H22" s="154" t="n">
        <f aca="false">'FlowCal Raw'!DG22</f>
        <v>0.847000000000001</v>
      </c>
      <c r="I22" s="154" t="n">
        <f aca="false">'FlowCal Raw'!DH22</f>
        <v>80.724</v>
      </c>
      <c r="J22" s="154" t="n">
        <f aca="false">'FlowCal Raw'!DI22</f>
        <v>10.702</v>
      </c>
      <c r="K22" s="154" t="n">
        <f aca="false">'FlowCal Raw'!DJ22</f>
        <v>4.31</v>
      </c>
      <c r="L22" s="154" t="n">
        <f aca="false">'FlowCal Raw'!DK22</f>
        <v>0.626</v>
      </c>
      <c r="M22" s="154" t="n">
        <f aca="false">'FlowCal Raw'!DL22</f>
        <v>1.321</v>
      </c>
      <c r="N22" s="154" t="n">
        <f aca="false">'FlowCal Raw'!DM22</f>
        <v>0.321</v>
      </c>
      <c r="O22" s="154" t="n">
        <f aca="false">'FlowCal Raw'!DN22</f>
        <v>0.359</v>
      </c>
      <c r="P22" s="154" t="n">
        <f aca="false">SUM('FlowCal Raw'!DO22:DT22)</f>
        <v>0.431</v>
      </c>
    </row>
    <row r="23" customFormat="false" ht="15.75" hidden="false" customHeight="true" outlineLevel="0" collapsed="false">
      <c r="A23" s="142" t="str">
        <f aca="false">'FlowCal Raw'!C23</f>
        <v>2.03.6</v>
      </c>
      <c r="B23" s="142" t="str">
        <f aca="false">'FlowCal Raw'!D23</f>
        <v>Wise West CDP MTR # 2</v>
      </c>
      <c r="C23" s="142" t="n">
        <f aca="false">'FlowCal Raw'!E23</f>
        <v>45361.55</v>
      </c>
      <c r="D23" s="142" t="n">
        <f aca="false">'FlowCal Raw'!F23</f>
        <v>55613.26</v>
      </c>
      <c r="E23" s="81" t="n">
        <f aca="false">'FlowCal Raw'!I23</f>
        <v>975.91517588566</v>
      </c>
      <c r="F23" s="81" t="n">
        <f aca="false">'FlowCal Raw'!J23</f>
        <v>74.9318121595437</v>
      </c>
      <c r="G23" s="154" t="n">
        <f aca="false">'FlowCal Raw'!DF23</f>
        <v>0.359</v>
      </c>
      <c r="H23" s="154" t="n">
        <f aca="false">'FlowCal Raw'!DG23</f>
        <v>0.847</v>
      </c>
      <c r="I23" s="154" t="n">
        <f aca="false">'FlowCal Raw'!DH23</f>
        <v>80.724</v>
      </c>
      <c r="J23" s="154" t="n">
        <f aca="false">'FlowCal Raw'!DI23</f>
        <v>10.702</v>
      </c>
      <c r="K23" s="154" t="n">
        <f aca="false">'FlowCal Raw'!DJ23</f>
        <v>4.31</v>
      </c>
      <c r="L23" s="154" t="n">
        <f aca="false">'FlowCal Raw'!DK23</f>
        <v>0.626</v>
      </c>
      <c r="M23" s="154" t="n">
        <f aca="false">'FlowCal Raw'!DL23</f>
        <v>1.321</v>
      </c>
      <c r="N23" s="154" t="n">
        <f aca="false">'FlowCal Raw'!DM23</f>
        <v>0.321</v>
      </c>
      <c r="O23" s="154" t="n">
        <f aca="false">'FlowCal Raw'!DN23</f>
        <v>0.359</v>
      </c>
      <c r="P23" s="154" t="n">
        <f aca="false">SUM('FlowCal Raw'!DO23:DT23)</f>
        <v>0.431</v>
      </c>
    </row>
    <row r="24" customFormat="false" ht="15.75" hidden="false" customHeight="true" outlineLevel="0" collapsed="false">
      <c r="A24" s="142" t="str">
        <f aca="false">'FlowCal Raw'!C24</f>
        <v>2.03.7</v>
      </c>
      <c r="B24" s="142" t="str">
        <f aca="false">'FlowCal Raw'!D24</f>
        <v>Penner CDP MTR #1</v>
      </c>
      <c r="C24" s="142" t="n">
        <f aca="false">'FlowCal Raw'!E24</f>
        <v>164104.08</v>
      </c>
      <c r="D24" s="142" t="n">
        <f aca="false">'FlowCal Raw'!F24</f>
        <v>203412.95</v>
      </c>
      <c r="E24" s="81" t="n">
        <f aca="false">'FlowCal Raw'!I24</f>
        <v>965.560787038263</v>
      </c>
      <c r="F24" s="81" t="n">
        <f aca="false">'FlowCal Raw'!J24</f>
        <v>97.7972614856566</v>
      </c>
      <c r="G24" s="154" t="n">
        <f aca="false">'FlowCal Raw'!DF24</f>
        <v>0.00510418212034034</v>
      </c>
      <c r="H24" s="154" t="n">
        <f aca="false">'FlowCal Raw'!DG24</f>
        <v>0.594280508772907</v>
      </c>
      <c r="I24" s="154" t="n">
        <f aca="false">'FlowCal Raw'!DH24</f>
        <v>81.2786633147187</v>
      </c>
      <c r="J24" s="154" t="n">
        <f aca="false">'FlowCal Raw'!DI24</f>
        <v>10.5018070889406</v>
      </c>
      <c r="K24" s="154" t="n">
        <f aca="false">'FlowCal Raw'!DJ24</f>
        <v>4.25902740437906</v>
      </c>
      <c r="L24" s="154" t="n">
        <f aca="false">'FlowCal Raw'!DK24</f>
        <v>0.694532701298378</v>
      </c>
      <c r="M24" s="154" t="n">
        <f aca="false">'FlowCal Raw'!DL24</f>
        <v>1.38931661717306</v>
      </c>
      <c r="N24" s="154" t="n">
        <f aca="false">'FlowCal Raw'!DM24</f>
        <v>0.361497121940463</v>
      </c>
      <c r="O24" s="154" t="n">
        <f aca="false">'FlowCal Raw'!DN24</f>
        <v>0.414292165717674</v>
      </c>
      <c r="P24" s="154" t="n">
        <f aca="false">SUM('FlowCal Raw'!DO24:DT24)</f>
        <v>0.501478798236785</v>
      </c>
    </row>
    <row r="25" customFormat="false" ht="15.75" hidden="false" customHeight="true" outlineLevel="0" collapsed="false">
      <c r="A25" s="142" t="str">
        <f aca="false">'FlowCal Raw'!C25</f>
        <v>2.03.8</v>
      </c>
      <c r="B25" s="142" t="str">
        <f aca="false">'FlowCal Raw'!D25</f>
        <v>Penner CDP MTR #2</v>
      </c>
      <c r="C25" s="142" t="n">
        <f aca="false">'FlowCal Raw'!E25</f>
        <v>0</v>
      </c>
      <c r="D25" s="142" t="n">
        <f aca="false">'FlowCal Raw'!F25</f>
        <v>0</v>
      </c>
      <c r="E25" s="81" t="n">
        <f aca="false">'FlowCal Raw'!I25</f>
        <v>46.0765275391199</v>
      </c>
      <c r="F25" s="81" t="n">
        <f aca="false">'FlowCal Raw'!J25</f>
        <v>105.669454554076</v>
      </c>
      <c r="G25" s="154" t="n">
        <f aca="false">'FlowCal Raw'!DF25</f>
        <v>0.0104920869807463</v>
      </c>
      <c r="H25" s="154" t="n">
        <f aca="false">'FlowCal Raw'!DG25</f>
        <v>0.593050870203203</v>
      </c>
      <c r="I25" s="154" t="n">
        <f aca="false">'FlowCal Raw'!DH25</f>
        <v>81.2436523334954</v>
      </c>
      <c r="J25" s="154" t="n">
        <f aca="false">'FlowCal Raw'!DI25</f>
        <v>10.5658812522888</v>
      </c>
      <c r="K25" s="154" t="n">
        <f aca="false">'FlowCal Raw'!DJ25</f>
        <v>4.24323085975903</v>
      </c>
      <c r="L25" s="154" t="n">
        <f aca="false">'FlowCal Raw'!DK25</f>
        <v>0.693949774228116</v>
      </c>
      <c r="M25" s="154" t="n">
        <f aca="false">'FlowCal Raw'!DL25</f>
        <v>1.3857839128343</v>
      </c>
      <c r="N25" s="154" t="n">
        <f aca="false">'FlowCal Raw'!DM25</f>
        <v>0.360322510523181</v>
      </c>
      <c r="O25" s="154" t="n">
        <f aca="false">'FlowCal Raw'!DN25</f>
        <v>0.413619444535304</v>
      </c>
      <c r="P25" s="154" t="n">
        <f aca="false">SUM('FlowCal Raw'!DO25:DT25)</f>
        <v>0.490016855629942</v>
      </c>
    </row>
    <row r="26" customFormat="false" ht="15.75" hidden="false" customHeight="true" outlineLevel="0" collapsed="false">
      <c r="A26" s="142" t="str">
        <f aca="false">'FlowCal Raw'!C26</f>
        <v>2.03.9</v>
      </c>
      <c r="B26" s="142" t="str">
        <f aca="false">'FlowCal Raw'!D26</f>
        <v>Pronghorn CDP</v>
      </c>
      <c r="C26" s="142" t="n">
        <f aca="false">'FlowCal Raw'!E26</f>
        <v>815353.24</v>
      </c>
      <c r="D26" s="142" t="n">
        <f aca="false">'FlowCal Raw'!F26</f>
        <v>1002884.54</v>
      </c>
      <c r="E26" s="81" t="n">
        <f aca="false">'FlowCal Raw'!I26</f>
        <v>989.166348175679</v>
      </c>
      <c r="F26" s="81" t="n">
        <f aca="false">'FlowCal Raw'!J26</f>
        <v>94.4882714358941</v>
      </c>
      <c r="G26" s="154" t="n">
        <f aca="false">'FlowCal Raw'!DF26</f>
        <v>0.099279756712626</v>
      </c>
      <c r="H26" s="154" t="n">
        <f aca="false">'FlowCal Raw'!DG26</f>
        <v>0.602165263373735</v>
      </c>
      <c r="I26" s="154" t="n">
        <f aca="false">'FlowCal Raw'!DH26</f>
        <v>79.160326528009</v>
      </c>
      <c r="J26" s="154" t="n">
        <f aca="false">'FlowCal Raw'!DI26</f>
        <v>11.1755135924096</v>
      </c>
      <c r="K26" s="154" t="n">
        <f aca="false">'FlowCal Raw'!DJ26</f>
        <v>4.99296145641652</v>
      </c>
      <c r="L26" s="154" t="n">
        <f aca="false">'FlowCal Raw'!DK26</f>
        <v>0.772059422793529</v>
      </c>
      <c r="M26" s="154" t="n">
        <f aca="false">'FlowCal Raw'!DL26</f>
        <v>1.70336529291086</v>
      </c>
      <c r="N26" s="154" t="n">
        <f aca="false">'FlowCal Raw'!DM26</f>
        <v>0.424818904481619</v>
      </c>
      <c r="O26" s="154" t="n">
        <f aca="false">'FlowCal Raw'!DN26</f>
        <v>0.502816387523273</v>
      </c>
      <c r="P26" s="154" t="n">
        <f aca="false">SUM('FlowCal Raw'!DO26:DT26)</f>
        <v>0.566691353321856</v>
      </c>
    </row>
    <row r="27" customFormat="false" ht="15.75" hidden="false" customHeight="true" outlineLevel="0" collapsed="false">
      <c r="A27" s="142" t="str">
        <f aca="false">'FlowCal Raw'!C27</f>
        <v>2.05.1</v>
      </c>
      <c r="B27" s="142" t="str">
        <f aca="false">'FlowCal Raw'!D27</f>
        <v>Monument Draw CDP MTR #1</v>
      </c>
      <c r="C27" s="142" t="n">
        <f aca="false">'FlowCal Raw'!E27</f>
        <v>126383.28</v>
      </c>
      <c r="D27" s="142" t="n">
        <f aca="false">'FlowCal Raw'!F27</f>
        <v>153429.3</v>
      </c>
      <c r="E27" s="81" t="n">
        <f aca="false">'FlowCal Raw'!I27</f>
        <v>1038.17373472406</v>
      </c>
      <c r="F27" s="81" t="n">
        <f aca="false">'FlowCal Raw'!J27</f>
        <v>87.138526581894</v>
      </c>
      <c r="G27" s="154" t="n">
        <f aca="false">'FlowCal Raw'!DF27</f>
        <v>2.372</v>
      </c>
      <c r="H27" s="154" t="n">
        <f aca="false">'FlowCal Raw'!DG27</f>
        <v>1.429</v>
      </c>
      <c r="I27" s="154" t="n">
        <f aca="false">'FlowCal Raw'!DH27</f>
        <v>78.31</v>
      </c>
      <c r="J27" s="154" t="n">
        <f aca="false">'FlowCal Raw'!DI27</f>
        <v>9.607</v>
      </c>
      <c r="K27" s="154" t="n">
        <f aca="false">'FlowCal Raw'!DJ27</f>
        <v>4.619</v>
      </c>
      <c r="L27" s="154" t="n">
        <f aca="false">'FlowCal Raw'!DK27</f>
        <v>0.699</v>
      </c>
      <c r="M27" s="154" t="n">
        <f aca="false">'FlowCal Raw'!DL27</f>
        <v>1.528</v>
      </c>
      <c r="N27" s="154" t="n">
        <f aca="false">'FlowCal Raw'!DM27</f>
        <v>0.509</v>
      </c>
      <c r="O27" s="154" t="n">
        <f aca="false">'FlowCal Raw'!DN27</f>
        <v>0.405</v>
      </c>
      <c r="P27" s="154" t="n">
        <f aca="false">SUM('FlowCal Raw'!DO27:DT27)</f>
        <v>0.522</v>
      </c>
    </row>
    <row r="28" customFormat="false" ht="15.75" hidden="false" customHeight="true" outlineLevel="0" collapsed="false">
      <c r="A28" s="142" t="str">
        <f aca="false">'FlowCal Raw'!C28</f>
        <v>2.05.5</v>
      </c>
      <c r="B28" s="142" t="str">
        <f aca="false">'FlowCal Raw'!D28</f>
        <v>West Quito CDP #2</v>
      </c>
      <c r="C28" s="142" t="n">
        <f aca="false">'FlowCal Raw'!E28</f>
        <v>0</v>
      </c>
      <c r="D28" s="142" t="n">
        <f aca="false">'FlowCal Raw'!F28</f>
        <v>0</v>
      </c>
      <c r="E28" s="81" t="n">
        <f aca="false">'FlowCal Raw'!I28</f>
        <v>13.6736551548845</v>
      </c>
      <c r="F28" s="81" t="n">
        <f aca="false">'FlowCal Raw'!J28</f>
        <v>79.194365978241</v>
      </c>
      <c r="G28" s="154" t="n">
        <f aca="false">'FlowCal Raw'!DF28</f>
        <v>0.176</v>
      </c>
      <c r="H28" s="154" t="n">
        <f aca="false">'FlowCal Raw'!DG28</f>
        <v>0.485</v>
      </c>
      <c r="I28" s="154" t="n">
        <f aca="false">'FlowCal Raw'!DH28</f>
        <v>85.8800000000001</v>
      </c>
      <c r="J28" s="154" t="n">
        <f aca="false">'FlowCal Raw'!DI28</f>
        <v>7.333</v>
      </c>
      <c r="K28" s="154" t="n">
        <f aca="false">'FlowCal Raw'!DJ28</f>
        <v>3.294</v>
      </c>
      <c r="L28" s="154" t="n">
        <f aca="false">'FlowCal Raw'!DK28</f>
        <v>0.45</v>
      </c>
      <c r="M28" s="154" t="n">
        <f aca="false">'FlowCal Raw'!DL28</f>
        <v>1.099</v>
      </c>
      <c r="N28" s="154" t="n">
        <f aca="false">'FlowCal Raw'!DM28</f>
        <v>0.289</v>
      </c>
      <c r="O28" s="154" t="n">
        <f aca="false">'FlowCal Raw'!DN28</f>
        <v>0.349</v>
      </c>
      <c r="P28" s="154" t="n">
        <f aca="false">SUM('FlowCal Raw'!DO28:DT28)</f>
        <v>0.645</v>
      </c>
    </row>
    <row r="29" customFormat="false" ht="15.75" hidden="false" customHeight="true" outlineLevel="0" collapsed="false">
      <c r="A29" s="142" t="str">
        <f aca="false">'FlowCal Raw'!C29</f>
        <v>2.07.1</v>
      </c>
      <c r="B29" s="142" t="str">
        <f aca="false">'FlowCal Raw'!D29</f>
        <v>University CDP MTR #1</v>
      </c>
      <c r="C29" s="142" t="n">
        <f aca="false">'FlowCal Raw'!E29</f>
        <v>14399.14</v>
      </c>
      <c r="D29" s="142" t="n">
        <f aca="false">'FlowCal Raw'!F29</f>
        <v>20187.6</v>
      </c>
      <c r="E29" s="81" t="n">
        <f aca="false">'FlowCal Raw'!I29</f>
        <v>71.1374473111294</v>
      </c>
      <c r="F29" s="81" t="n">
        <f aca="false">'FlowCal Raw'!J29</f>
        <v>79.980892128898</v>
      </c>
      <c r="G29" s="154" t="n">
        <f aca="false">'FlowCal Raw'!DF29</f>
        <v>0.243</v>
      </c>
      <c r="H29" s="154" t="n">
        <f aca="false">'FlowCal Raw'!DG29</f>
        <v>1.504</v>
      </c>
      <c r="I29" s="154" t="n">
        <f aca="false">'FlowCal Raw'!DH29</f>
        <v>71.375</v>
      </c>
      <c r="J29" s="154" t="n">
        <f aca="false">'FlowCal Raw'!DI29</f>
        <v>12.064</v>
      </c>
      <c r="K29" s="154" t="n">
        <f aca="false">'FlowCal Raw'!DJ29</f>
        <v>7.833</v>
      </c>
      <c r="L29" s="154" t="n">
        <f aca="false">'FlowCal Raw'!DK29</f>
        <v>0.915</v>
      </c>
      <c r="M29" s="154" t="n">
        <f aca="false">'FlowCal Raw'!DL29</f>
        <v>2.986</v>
      </c>
      <c r="N29" s="154" t="n">
        <f aca="false">'FlowCal Raw'!DM29</f>
        <v>0.7</v>
      </c>
      <c r="O29" s="154" t="n">
        <f aca="false">'FlowCal Raw'!DN29</f>
        <v>0.774</v>
      </c>
      <c r="P29" s="154" t="n">
        <f aca="false">SUM('FlowCal Raw'!DO29:DT29)</f>
        <v>1.606</v>
      </c>
    </row>
    <row r="30" customFormat="false" ht="15.75" hidden="false" customHeight="true" outlineLevel="0" collapsed="false">
      <c r="A30" s="142" t="str">
        <f aca="false">'FlowCal Raw'!C30</f>
        <v>2.07.2</v>
      </c>
      <c r="B30" s="142" t="str">
        <f aca="false">'FlowCal Raw'!D30</f>
        <v>US Energy 4320 CDP</v>
      </c>
      <c r="C30" s="142" t="n">
        <f aca="false">'FlowCal Raw'!E30</f>
        <v>29648.04</v>
      </c>
      <c r="D30" s="142" t="n">
        <f aca="false">'FlowCal Raw'!F30</f>
        <v>46488.12</v>
      </c>
      <c r="E30" s="81" t="n">
        <f aca="false">'FlowCal Raw'!I30</f>
        <v>77.2879731657529</v>
      </c>
      <c r="F30" s="81" t="n">
        <f aca="false">'FlowCal Raw'!J30</f>
        <v>90.7630518904569</v>
      </c>
      <c r="G30" s="154" t="n">
        <f aca="false">'FlowCal Raw'!DF30</f>
        <v>0.325</v>
      </c>
      <c r="H30" s="154" t="n">
        <f aca="false">'FlowCal Raw'!DG30</f>
        <v>1.172</v>
      </c>
      <c r="I30" s="154" t="n">
        <f aca="false">'FlowCal Raw'!DH30</f>
        <v>64.336</v>
      </c>
      <c r="J30" s="154" t="n">
        <f aca="false">'FlowCal Raw'!DI30</f>
        <v>12.553</v>
      </c>
      <c r="K30" s="154" t="n">
        <f aca="false">'FlowCal Raw'!DJ30</f>
        <v>9.966</v>
      </c>
      <c r="L30" s="154" t="n">
        <f aca="false">'FlowCal Raw'!DK30</f>
        <v>1.453</v>
      </c>
      <c r="M30" s="154" t="n">
        <f aca="false">'FlowCal Raw'!DL30</f>
        <v>5.08</v>
      </c>
      <c r="N30" s="154" t="n">
        <f aca="false">'FlowCal Raw'!DM30</f>
        <v>1.357</v>
      </c>
      <c r="O30" s="154" t="n">
        <f aca="false">'FlowCal Raw'!DN30</f>
        <v>1.744</v>
      </c>
      <c r="P30" s="154" t="n">
        <f aca="false">SUM('FlowCal Raw'!DO30:DT30)</f>
        <v>2.014</v>
      </c>
    </row>
    <row r="31" customFormat="false" ht="15.75" hidden="false" customHeight="true" outlineLevel="0" collapsed="false">
      <c r="A31" s="142" t="str">
        <f aca="false">'FlowCal Raw'!C31</f>
        <v>2.10.10</v>
      </c>
      <c r="B31" s="142" t="str">
        <f aca="false">'FlowCal Raw'!D31</f>
        <v>Nailed It B CDP</v>
      </c>
      <c r="C31" s="142" t="n">
        <f aca="false">'FlowCal Raw'!E31</f>
        <v>786056.19</v>
      </c>
      <c r="D31" s="142" t="n">
        <f aca="false">'FlowCal Raw'!F31</f>
        <v>1024231.22</v>
      </c>
      <c r="E31" s="81" t="n">
        <f aca="false">'FlowCal Raw'!I31</f>
        <v>92.4391822175048</v>
      </c>
      <c r="F31" s="81" t="n">
        <f aca="false">'FlowCal Raw'!J31</f>
        <v>93.1365001657748</v>
      </c>
      <c r="G31" s="154" t="n">
        <f aca="false">'FlowCal Raw'!DF31</f>
        <v>0.166</v>
      </c>
      <c r="H31" s="154" t="n">
        <f aca="false">'FlowCal Raw'!DG31</f>
        <v>0.738</v>
      </c>
      <c r="I31" s="154" t="n">
        <f aca="false">'FlowCal Raw'!DH31</f>
        <v>78.221</v>
      </c>
      <c r="J31" s="154" t="n">
        <f aca="false">'FlowCal Raw'!DI31</f>
        <v>11.027</v>
      </c>
      <c r="K31" s="154" t="n">
        <f aca="false">'FlowCal Raw'!DJ31</f>
        <v>4.899</v>
      </c>
      <c r="L31" s="154" t="n">
        <f aca="false">'FlowCal Raw'!DK31</f>
        <v>0.811</v>
      </c>
      <c r="M31" s="154" t="n">
        <f aca="false">'FlowCal Raw'!DL31</f>
        <v>1.773</v>
      </c>
      <c r="N31" s="154" t="n">
        <f aca="false">'FlowCal Raw'!DM31</f>
        <v>0.5</v>
      </c>
      <c r="O31" s="154" t="n">
        <f aca="false">'FlowCal Raw'!DN31</f>
        <v>0.572</v>
      </c>
      <c r="P31" s="154" t="n">
        <f aca="false">SUM('FlowCal Raw'!DO31:DT31)</f>
        <v>1.293</v>
      </c>
    </row>
    <row r="32" customFormat="false" ht="15.75" hidden="false" customHeight="true" outlineLevel="0" collapsed="false">
      <c r="A32" s="142" t="str">
        <f aca="false">'FlowCal Raw'!C32</f>
        <v>2.10.11</v>
      </c>
      <c r="B32" s="142" t="str">
        <f aca="false">'FlowCal Raw'!D32</f>
        <v>Cypress 33 B CDP MTR #1</v>
      </c>
      <c r="C32" s="142" t="n">
        <f aca="false">'FlowCal Raw'!E32</f>
        <v>0</v>
      </c>
      <c r="D32" s="142" t="n">
        <f aca="false">'FlowCal Raw'!F32</f>
        <v>0</v>
      </c>
      <c r="E32" s="81" t="n">
        <f aca="false">'FlowCal Raw'!I32</f>
        <v>47.3303692212669</v>
      </c>
      <c r="F32" s="81" t="n">
        <f aca="false">'FlowCal Raw'!J32</f>
        <v>82.1364990203612</v>
      </c>
      <c r="G32" s="154" t="n">
        <f aca="false">'FlowCal Raw'!DF32</f>
        <v>0.101</v>
      </c>
      <c r="H32" s="154" t="n">
        <f aca="false">'FlowCal Raw'!DG32</f>
        <v>0.827000000000001</v>
      </c>
      <c r="I32" s="154" t="n">
        <f aca="false">'FlowCal Raw'!DH32</f>
        <v>78.631</v>
      </c>
      <c r="J32" s="154" t="n">
        <f aca="false">'FlowCal Raw'!DI32</f>
        <v>11.052</v>
      </c>
      <c r="K32" s="154" t="n">
        <f aca="false">'FlowCal Raw'!DJ32</f>
        <v>4.952</v>
      </c>
      <c r="L32" s="154" t="n">
        <f aca="false">'FlowCal Raw'!DK32</f>
        <v>0.774000000000001</v>
      </c>
      <c r="M32" s="154" t="n">
        <f aca="false">'FlowCal Raw'!DL32</f>
        <v>1.717</v>
      </c>
      <c r="N32" s="154" t="n">
        <f aca="false">'FlowCal Raw'!DM32</f>
        <v>0.462</v>
      </c>
      <c r="O32" s="154" t="n">
        <f aca="false">'FlowCal Raw'!DN32</f>
        <v>0.514</v>
      </c>
      <c r="P32" s="154" t="n">
        <f aca="false">SUM('FlowCal Raw'!DO32:DT32)</f>
        <v>0.969999999999999</v>
      </c>
    </row>
    <row r="33" customFormat="false" ht="15.75" hidden="false" customHeight="true" outlineLevel="0" collapsed="false">
      <c r="A33" s="142" t="str">
        <f aca="false">'FlowCal Raw'!C33</f>
        <v>2.10.12</v>
      </c>
      <c r="B33" s="142" t="str">
        <f aca="false">'FlowCal Raw'!D33</f>
        <v>Cypress 33 B CDP MTR #2</v>
      </c>
      <c r="C33" s="142" t="n">
        <f aca="false">'FlowCal Raw'!E33</f>
        <v>325254.55</v>
      </c>
      <c r="D33" s="142" t="n">
        <f aca="false">'FlowCal Raw'!F33</f>
        <v>417952.1</v>
      </c>
      <c r="E33" s="81" t="n">
        <f aca="false">'FlowCal Raw'!I33</f>
        <v>76.9074506929402</v>
      </c>
      <c r="F33" s="81" t="n">
        <f aca="false">'FlowCal Raw'!J33</f>
        <v>87.6471195839257</v>
      </c>
      <c r="G33" s="154" t="n">
        <f aca="false">'FlowCal Raw'!DF33</f>
        <v>0.101</v>
      </c>
      <c r="H33" s="154" t="n">
        <f aca="false">'FlowCal Raw'!DG33</f>
        <v>0.827</v>
      </c>
      <c r="I33" s="154" t="n">
        <f aca="false">'FlowCal Raw'!DH33</f>
        <v>78.631</v>
      </c>
      <c r="J33" s="154" t="n">
        <f aca="false">'FlowCal Raw'!DI33</f>
        <v>11.052</v>
      </c>
      <c r="K33" s="154" t="n">
        <f aca="false">'FlowCal Raw'!DJ33</f>
        <v>4.952</v>
      </c>
      <c r="L33" s="154" t="n">
        <f aca="false">'FlowCal Raw'!DK33</f>
        <v>0.774</v>
      </c>
      <c r="M33" s="154" t="n">
        <f aca="false">'FlowCal Raw'!DL33</f>
        <v>1.717</v>
      </c>
      <c r="N33" s="154" t="n">
        <f aca="false">'FlowCal Raw'!DM33</f>
        <v>0.462</v>
      </c>
      <c r="O33" s="154" t="n">
        <f aca="false">'FlowCal Raw'!DN33</f>
        <v>0.514</v>
      </c>
      <c r="P33" s="154" t="n">
        <f aca="false">SUM('FlowCal Raw'!DO33:DT33)</f>
        <v>0.97</v>
      </c>
    </row>
    <row r="34" customFormat="false" ht="15.75" hidden="false" customHeight="true" outlineLevel="0" collapsed="false">
      <c r="A34" s="142" t="str">
        <f aca="false">'FlowCal Raw'!C34</f>
        <v>2.10.13</v>
      </c>
      <c r="B34" s="142" t="str">
        <f aca="false">'FlowCal Raw'!D34</f>
        <v>Money Graham B CDP</v>
      </c>
      <c r="C34" s="142" t="n">
        <f aca="false">'FlowCal Raw'!E34</f>
        <v>166498.74</v>
      </c>
      <c r="D34" s="142" t="n">
        <f aca="false">'FlowCal Raw'!F34</f>
        <v>223957.45</v>
      </c>
      <c r="E34" s="81" t="n">
        <f aca="false">'FlowCal Raw'!I34</f>
        <v>80.3037823893195</v>
      </c>
      <c r="F34" s="81" t="n">
        <f aca="false">'FlowCal Raw'!J34</f>
        <v>95.1078334775595</v>
      </c>
      <c r="G34" s="154" t="n">
        <f aca="false">'FlowCal Raw'!DF34</f>
        <v>0.223</v>
      </c>
      <c r="H34" s="154" t="n">
        <f aca="false">'FlowCal Raw'!DG34</f>
        <v>1.091</v>
      </c>
      <c r="I34" s="154" t="n">
        <f aca="false">'FlowCal Raw'!DH34</f>
        <v>74.099</v>
      </c>
      <c r="J34" s="154" t="n">
        <f aca="false">'FlowCal Raw'!DI34</f>
        <v>12.49</v>
      </c>
      <c r="K34" s="154" t="n">
        <f aca="false">'FlowCal Raw'!DJ34</f>
        <v>6.532</v>
      </c>
      <c r="L34" s="154" t="n">
        <f aca="false">'FlowCal Raw'!DK34</f>
        <v>0.929</v>
      </c>
      <c r="M34" s="154" t="n">
        <f aca="false">'FlowCal Raw'!DL34</f>
        <v>2.237</v>
      </c>
      <c r="N34" s="154" t="n">
        <f aca="false">'FlowCal Raw'!DM34</f>
        <v>0.568</v>
      </c>
      <c r="O34" s="154" t="n">
        <f aca="false">'FlowCal Raw'!DN34</f>
        <v>0.64</v>
      </c>
      <c r="P34" s="154" t="n">
        <f aca="false">SUM('FlowCal Raw'!DO34:DT34)</f>
        <v>1.191</v>
      </c>
    </row>
    <row r="35" customFormat="false" ht="15.75" hidden="false" customHeight="true" outlineLevel="0" collapsed="false">
      <c r="A35" s="142" t="str">
        <f aca="false">'FlowCal Raw'!C35</f>
        <v>2.10.2</v>
      </c>
      <c r="B35" s="142" t="str">
        <f aca="false">'FlowCal Raw'!D35</f>
        <v>Money Graham A CDP MTR #2</v>
      </c>
      <c r="C35" s="142" t="n">
        <f aca="false">'FlowCal Raw'!E35</f>
        <v>397018.39</v>
      </c>
      <c r="D35" s="142" t="n">
        <f aca="false">'FlowCal Raw'!F35</f>
        <v>508977.57</v>
      </c>
      <c r="E35" s="81" t="n">
        <f aca="false">'FlowCal Raw'!I35</f>
        <v>79.5285223220425</v>
      </c>
      <c r="F35" s="81" t="n">
        <f aca="false">'FlowCal Raw'!J35</f>
        <v>87.8186506354005</v>
      </c>
      <c r="G35" s="154" t="n">
        <f aca="false">'FlowCal Raw'!DF35</f>
        <v>0.149</v>
      </c>
      <c r="H35" s="154" t="n">
        <f aca="false">'FlowCal Raw'!DG35</f>
        <v>0.795</v>
      </c>
      <c r="I35" s="154" t="n">
        <f aca="false">'FlowCal Raw'!DH35</f>
        <v>78.823</v>
      </c>
      <c r="J35" s="154" t="n">
        <f aca="false">'FlowCal Raw'!DI35</f>
        <v>11.069</v>
      </c>
      <c r="K35" s="154" t="n">
        <f aca="false">'FlowCal Raw'!DJ35</f>
        <v>4.789</v>
      </c>
      <c r="L35" s="154" t="n">
        <f aca="false">'FlowCal Raw'!DK35</f>
        <v>0.759</v>
      </c>
      <c r="M35" s="154" t="n">
        <f aca="false">'FlowCal Raw'!DL35</f>
        <v>1.644</v>
      </c>
      <c r="N35" s="154" t="n">
        <f aca="false">'FlowCal Raw'!DM35</f>
        <v>0.446</v>
      </c>
      <c r="O35" s="154" t="n">
        <f aca="false">'FlowCal Raw'!DN35</f>
        <v>0.499</v>
      </c>
      <c r="P35" s="154" t="n">
        <f aca="false">SUM('FlowCal Raw'!DO35:DT35)</f>
        <v>1.027</v>
      </c>
    </row>
    <row r="36" customFormat="false" ht="15.75" hidden="false" customHeight="true" outlineLevel="0" collapsed="false">
      <c r="A36" s="142" t="str">
        <f aca="false">'FlowCal Raw'!C36</f>
        <v>2.10.4</v>
      </c>
      <c r="B36" s="142" t="str">
        <f aca="false">'FlowCal Raw'!D36</f>
        <v>Pliny The Elder CDP</v>
      </c>
      <c r="C36" s="142" t="n">
        <f aca="false">'FlowCal Raw'!E36</f>
        <v>287535.81</v>
      </c>
      <c r="D36" s="142" t="n">
        <f aca="false">'FlowCal Raw'!F36</f>
        <v>366895.69</v>
      </c>
      <c r="E36" s="81" t="n">
        <f aca="false">'FlowCal Raw'!I36</f>
        <v>66.506085676504</v>
      </c>
      <c r="F36" s="81" t="n">
        <f aca="false">'FlowCal Raw'!J36</f>
        <v>93.7986342383159</v>
      </c>
      <c r="G36" s="154" t="n">
        <f aca="false">'FlowCal Raw'!DF36</f>
        <v>0.088</v>
      </c>
      <c r="H36" s="154" t="n">
        <f aca="false">'FlowCal Raw'!DG36</f>
        <v>0.898</v>
      </c>
      <c r="I36" s="154" t="n">
        <f aca="false">'FlowCal Raw'!DH36</f>
        <v>79.584</v>
      </c>
      <c r="J36" s="154" t="n">
        <f aca="false">'FlowCal Raw'!DI36</f>
        <v>10.505</v>
      </c>
      <c r="K36" s="154" t="n">
        <f aca="false">'FlowCal Raw'!DJ36</f>
        <v>4.499</v>
      </c>
      <c r="L36" s="154" t="n">
        <f aca="false">'FlowCal Raw'!DK36</f>
        <v>0.745</v>
      </c>
      <c r="M36" s="154" t="n">
        <f aca="false">'FlowCal Raw'!DL36</f>
        <v>1.574</v>
      </c>
      <c r="N36" s="154" t="n">
        <f aca="false">'FlowCal Raw'!DM36</f>
        <v>0.486</v>
      </c>
      <c r="O36" s="154" t="n">
        <f aca="false">'FlowCal Raw'!DN36</f>
        <v>0.516</v>
      </c>
      <c r="P36" s="154" t="n">
        <f aca="false">SUM('FlowCal Raw'!DO36:DT36)</f>
        <v>1.105</v>
      </c>
    </row>
    <row r="37" customFormat="false" ht="15.75" hidden="false" customHeight="true" outlineLevel="0" collapsed="false">
      <c r="A37" s="142" t="str">
        <f aca="false">'FlowCal Raw'!C37</f>
        <v>2.10.5</v>
      </c>
      <c r="B37" s="142" t="str">
        <f aca="false">'FlowCal Raw'!D37</f>
        <v>Cypress 34 A CDP</v>
      </c>
      <c r="C37" s="142" t="n">
        <f aca="false">'FlowCal Raw'!E37</f>
        <v>260982.1</v>
      </c>
      <c r="D37" s="142" t="n">
        <f aca="false">'FlowCal Raw'!F37</f>
        <v>327271.55</v>
      </c>
      <c r="E37" s="81" t="n">
        <f aca="false">'FlowCal Raw'!I37</f>
        <v>69.6057037655324</v>
      </c>
      <c r="F37" s="81" t="n">
        <f aca="false">'FlowCal Raw'!J37</f>
        <v>74.5389554167065</v>
      </c>
      <c r="G37" s="154" t="n">
        <f aca="false">'FlowCal Raw'!DF37</f>
        <v>0.212</v>
      </c>
      <c r="H37" s="154" t="n">
        <f aca="false">'FlowCal Raw'!DG37</f>
        <v>0.924</v>
      </c>
      <c r="I37" s="154" t="n">
        <f aca="false">'FlowCal Raw'!DH37</f>
        <v>79.81</v>
      </c>
      <c r="J37" s="154" t="n">
        <f aca="false">'FlowCal Raw'!DI37</f>
        <v>10.702</v>
      </c>
      <c r="K37" s="154" t="n">
        <f aca="false">'FlowCal Raw'!DJ37</f>
        <v>4.62</v>
      </c>
      <c r="L37" s="154" t="n">
        <f aca="false">'FlowCal Raw'!DK37</f>
        <v>0.685</v>
      </c>
      <c r="M37" s="154" t="n">
        <f aca="false">'FlowCal Raw'!DL37</f>
        <v>1.487</v>
      </c>
      <c r="N37" s="154" t="n">
        <f aca="false">'FlowCal Raw'!DM37</f>
        <v>0.381</v>
      </c>
      <c r="O37" s="154" t="n">
        <f aca="false">'FlowCal Raw'!DN37</f>
        <v>0.416</v>
      </c>
      <c r="P37" s="154" t="n">
        <f aca="false">SUM('FlowCal Raw'!DO37:DT37)</f>
        <v>0.763</v>
      </c>
    </row>
    <row r="38" customFormat="false" ht="15.75" hidden="false" customHeight="true" outlineLevel="0" collapsed="false">
      <c r="A38" s="142" t="str">
        <f aca="false">'FlowCal Raw'!C38</f>
        <v>2.10.6</v>
      </c>
      <c r="B38" s="142" t="str">
        <f aca="false">'FlowCal Raw'!D38</f>
        <v>Welcome to Golden CDP MTR #1</v>
      </c>
      <c r="C38" s="142" t="n">
        <f aca="false">'FlowCal Raw'!E38</f>
        <v>390995.13</v>
      </c>
      <c r="D38" s="142" t="n">
        <f aca="false">'FlowCal Raw'!F38</f>
        <v>514119.49</v>
      </c>
      <c r="E38" s="81" t="n">
        <f aca="false">'FlowCal Raw'!I38</f>
        <v>86.9701735366163</v>
      </c>
      <c r="F38" s="81" t="n">
        <f aca="false">'FlowCal Raw'!J38</f>
        <v>94.5263672644228</v>
      </c>
      <c r="G38" s="154" t="n">
        <f aca="false">'FlowCal Raw'!DF38</f>
        <v>0.165</v>
      </c>
      <c r="H38" s="154" t="n">
        <f aca="false">'FlowCal Raw'!DG38</f>
        <v>0.866</v>
      </c>
      <c r="I38" s="154" t="n">
        <f aca="false">'FlowCal Raw'!DH38</f>
        <v>77.195</v>
      </c>
      <c r="J38" s="154" t="n">
        <f aca="false">'FlowCal Raw'!DI38</f>
        <v>11.392</v>
      </c>
      <c r="K38" s="154" t="n">
        <f aca="false">'FlowCal Raw'!DJ38</f>
        <v>5.235</v>
      </c>
      <c r="L38" s="154" t="n">
        <f aca="false">'FlowCal Raw'!DK38</f>
        <v>0.841</v>
      </c>
      <c r="M38" s="154" t="n">
        <f aca="false">'FlowCal Raw'!DL38</f>
        <v>1.873</v>
      </c>
      <c r="N38" s="154" t="n">
        <f aca="false">'FlowCal Raw'!DM38</f>
        <v>0.515</v>
      </c>
      <c r="O38" s="154" t="n">
        <f aca="false">'FlowCal Raw'!DN38</f>
        <v>0.59</v>
      </c>
      <c r="P38" s="154" t="n">
        <f aca="false">SUM('FlowCal Raw'!DO38:DT38)</f>
        <v>1.328</v>
      </c>
    </row>
    <row r="39" customFormat="false" ht="15.75" hidden="false" customHeight="true" outlineLevel="0" collapsed="false">
      <c r="A39" s="142" t="str">
        <f aca="false">'FlowCal Raw'!C39</f>
        <v>2.10.7</v>
      </c>
      <c r="B39" s="142" t="str">
        <f aca="false">'FlowCal Raw'!D39</f>
        <v>Welcome to Golden CDP MTR #2</v>
      </c>
      <c r="C39" s="142" t="n">
        <f aca="false">'FlowCal Raw'!E39</f>
        <v>475522.56</v>
      </c>
      <c r="D39" s="142" t="n">
        <f aca="false">'FlowCal Raw'!F39</f>
        <v>625264.62</v>
      </c>
      <c r="E39" s="81" t="n">
        <f aca="false">'FlowCal Raw'!I39</f>
        <v>86.6335211499817</v>
      </c>
      <c r="F39" s="81" t="n">
        <f aca="false">'FlowCal Raw'!J39</f>
        <v>94.319810597109</v>
      </c>
      <c r="G39" s="154" t="n">
        <f aca="false">'FlowCal Raw'!DF39</f>
        <v>0.165</v>
      </c>
      <c r="H39" s="154" t="n">
        <f aca="false">'FlowCal Raw'!DG39</f>
        <v>0.866</v>
      </c>
      <c r="I39" s="154" t="n">
        <f aca="false">'FlowCal Raw'!DH39</f>
        <v>77.195</v>
      </c>
      <c r="J39" s="154" t="n">
        <f aca="false">'FlowCal Raw'!DI39</f>
        <v>11.392</v>
      </c>
      <c r="K39" s="154" t="n">
        <f aca="false">'FlowCal Raw'!DJ39</f>
        <v>5.235</v>
      </c>
      <c r="L39" s="154" t="n">
        <f aca="false">'FlowCal Raw'!DK39</f>
        <v>0.841</v>
      </c>
      <c r="M39" s="154" t="n">
        <f aca="false">'FlowCal Raw'!DL39</f>
        <v>1.873</v>
      </c>
      <c r="N39" s="154" t="n">
        <f aca="false">'FlowCal Raw'!DM39</f>
        <v>0.515</v>
      </c>
      <c r="O39" s="154" t="n">
        <f aca="false">'FlowCal Raw'!DN39</f>
        <v>0.59</v>
      </c>
      <c r="P39" s="154" t="n">
        <f aca="false">SUM('FlowCal Raw'!DO39:DT39)</f>
        <v>1.328</v>
      </c>
    </row>
    <row r="40" customFormat="false" ht="15.75" hidden="false" customHeight="true" outlineLevel="0" collapsed="false">
      <c r="A40" s="142" t="str">
        <f aca="false">'FlowCal Raw'!C40</f>
        <v>2.10.8</v>
      </c>
      <c r="B40" s="142" t="str">
        <f aca="false">'FlowCal Raw'!D40</f>
        <v>Cypress 34 B CDP</v>
      </c>
      <c r="C40" s="142" t="n">
        <f aca="false">'FlowCal Raw'!E40</f>
        <v>131921.42</v>
      </c>
      <c r="D40" s="142" t="n">
        <f aca="false">'FlowCal Raw'!F40</f>
        <v>167935.97</v>
      </c>
      <c r="E40" s="81" t="n">
        <f aca="false">'FlowCal Raw'!I40</f>
        <v>69.5052915715093</v>
      </c>
      <c r="F40" s="81" t="n">
        <f aca="false">'FlowCal Raw'!J40</f>
        <v>73.0207136120128</v>
      </c>
      <c r="G40" s="154" t="n">
        <f aca="false">'FlowCal Raw'!DF40</f>
        <v>0.109</v>
      </c>
      <c r="H40" s="154" t="n">
        <f aca="false">'FlowCal Raw'!DG40</f>
        <v>1.045</v>
      </c>
      <c r="I40" s="154" t="n">
        <f aca="false">'FlowCal Raw'!DH40</f>
        <v>78.009</v>
      </c>
      <c r="J40" s="154" t="n">
        <f aca="false">'FlowCal Raw'!DI40</f>
        <v>11.578</v>
      </c>
      <c r="K40" s="154" t="n">
        <f aca="false">'FlowCal Raw'!DJ40</f>
        <v>5.413</v>
      </c>
      <c r="L40" s="154" t="n">
        <f aca="false">'FlowCal Raw'!DK40</f>
        <v>0.759</v>
      </c>
      <c r="M40" s="154" t="n">
        <f aca="false">'FlowCal Raw'!DL40</f>
        <v>1.676</v>
      </c>
      <c r="N40" s="154" t="n">
        <f aca="false">'FlowCal Raw'!DM40</f>
        <v>0.371</v>
      </c>
      <c r="O40" s="154" t="n">
        <f aca="false">'FlowCal Raw'!DN40</f>
        <v>0.399</v>
      </c>
      <c r="P40" s="154" t="n">
        <f aca="false">SUM('FlowCal Raw'!DO40:DT40)</f>
        <v>0.641</v>
      </c>
    </row>
    <row r="41" customFormat="false" ht="15.75" hidden="false" customHeight="true" outlineLevel="0" collapsed="false">
      <c r="A41" s="142" t="str">
        <f aca="false">'FlowCal Raw'!C41</f>
        <v>2.10.9</v>
      </c>
      <c r="B41" s="142" t="str">
        <f aca="false">'FlowCal Raw'!D41</f>
        <v>Nailed It A CDP</v>
      </c>
      <c r="C41" s="142" t="n">
        <f aca="false">'FlowCal Raw'!E41</f>
        <v>522485.52</v>
      </c>
      <c r="D41" s="142" t="n">
        <f aca="false">'FlowCal Raw'!F41</f>
        <v>668258.98</v>
      </c>
      <c r="E41" s="81" t="n">
        <f aca="false">'FlowCal Raw'!I41</f>
        <v>81.9916443128791</v>
      </c>
      <c r="F41" s="81" t="n">
        <f aca="false">'FlowCal Raw'!J41</f>
        <v>88.0177497623365</v>
      </c>
      <c r="G41" s="154" t="n">
        <f aca="false">'FlowCal Raw'!DF41</f>
        <v>0.179</v>
      </c>
      <c r="H41" s="154" t="n">
        <f aca="false">'FlowCal Raw'!DG41</f>
        <v>0.802</v>
      </c>
      <c r="I41" s="154" t="n">
        <f aca="false">'FlowCal Raw'!DH41</f>
        <v>78.54</v>
      </c>
      <c r="J41" s="154" t="n">
        <f aca="false">'FlowCal Raw'!DI41</f>
        <v>11.158</v>
      </c>
      <c r="K41" s="154" t="n">
        <f aca="false">'FlowCal Raw'!DJ41</f>
        <v>5.019</v>
      </c>
      <c r="L41" s="154" t="n">
        <f aca="false">'FlowCal Raw'!DK41</f>
        <v>0.807</v>
      </c>
      <c r="M41" s="154" t="n">
        <f aca="false">'FlowCal Raw'!DL41</f>
        <v>1.755</v>
      </c>
      <c r="N41" s="154" t="n">
        <f aca="false">'FlowCal Raw'!DM41</f>
        <v>0.475</v>
      </c>
      <c r="O41" s="154" t="n">
        <f aca="false">'FlowCal Raw'!DN41</f>
        <v>0.539</v>
      </c>
      <c r="P41" s="154" t="n">
        <f aca="false">SUM('FlowCal Raw'!DO41:DT41)</f>
        <v>0.726</v>
      </c>
    </row>
    <row r="42" customFormat="false" ht="15.75" hidden="false" customHeight="true" outlineLevel="0" collapsed="false">
      <c r="A42" s="142" t="str">
        <f aca="false">'FlowCal Raw'!C42</f>
        <v>2.11.2</v>
      </c>
      <c r="B42" s="142" t="str">
        <f aca="false">'FlowCal Raw'!D42</f>
        <v>Bluto CDP</v>
      </c>
      <c r="C42" s="142" t="n">
        <f aca="false">'FlowCal Raw'!E42</f>
        <v>84015.9</v>
      </c>
      <c r="D42" s="142" t="n">
        <f aca="false">'FlowCal Raw'!F42</f>
        <v>103843.65</v>
      </c>
      <c r="E42" s="81" t="n">
        <f aca="false">'FlowCal Raw'!I42</f>
        <v>54.6667374019693</v>
      </c>
      <c r="F42" s="81" t="n">
        <f aca="false">'FlowCal Raw'!J42</f>
        <v>83.7578652637491</v>
      </c>
      <c r="G42" s="154" t="n">
        <f aca="false">'FlowCal Raw'!DF42</f>
        <v>0.096</v>
      </c>
      <c r="H42" s="154" t="n">
        <f aca="false">'FlowCal Raw'!DG42</f>
        <v>0.736</v>
      </c>
      <c r="I42" s="154" t="n">
        <f aca="false">'FlowCal Raw'!DH42</f>
        <v>81.238</v>
      </c>
      <c r="J42" s="154" t="n">
        <f aca="false">'FlowCal Raw'!DI42</f>
        <v>10.675</v>
      </c>
      <c r="K42" s="154" t="n">
        <f aca="false">'FlowCal Raw'!DJ42</f>
        <v>3.984</v>
      </c>
      <c r="L42" s="154" t="n">
        <f aca="false">'FlowCal Raw'!DK42</f>
        <v>0.643</v>
      </c>
      <c r="M42" s="154" t="n">
        <f aca="false">'FlowCal Raw'!DL42</f>
        <v>1.174</v>
      </c>
      <c r="N42" s="154" t="n">
        <f aca="false">'FlowCal Raw'!DM42</f>
        <v>0.34</v>
      </c>
      <c r="O42" s="154" t="n">
        <f aca="false">'FlowCal Raw'!DN42</f>
        <v>0.357</v>
      </c>
      <c r="P42" s="154" t="n">
        <f aca="false">SUM('FlowCal Raw'!DO42:DT42)</f>
        <v>0.757</v>
      </c>
    </row>
    <row r="43" customFormat="false" ht="15.75" hidden="false" customHeight="true" outlineLevel="0" collapsed="false">
      <c r="A43" s="142" t="str">
        <f aca="false">'FlowCal Raw'!C43</f>
        <v>2.11.3</v>
      </c>
      <c r="B43" s="142" t="str">
        <f aca="false">'FlowCal Raw'!D43</f>
        <v>DF Ranch CDP</v>
      </c>
      <c r="C43" s="142" t="n">
        <f aca="false">'FlowCal Raw'!E43</f>
        <v>0</v>
      </c>
      <c r="D43" s="142" t="n">
        <f aca="false">'FlowCal Raw'!F43</f>
        <v>0</v>
      </c>
      <c r="E43" s="81" t="n">
        <f aca="false">'FlowCal Raw'!I43</f>
        <v>16.6846112499955</v>
      </c>
      <c r="F43" s="81" t="n">
        <f aca="false">'FlowCal Raw'!J43</f>
        <v>75.0433518040565</v>
      </c>
      <c r="G43" s="154" t="n">
        <f aca="false">'FlowCal Raw'!DF43</f>
        <v>0.132</v>
      </c>
      <c r="H43" s="154" t="n">
        <f aca="false">'FlowCal Raw'!DG43</f>
        <v>0.923000000000001</v>
      </c>
      <c r="I43" s="154" t="n">
        <f aca="false">'FlowCal Raw'!DH43</f>
        <v>81.04</v>
      </c>
      <c r="J43" s="154" t="n">
        <f aca="false">'FlowCal Raw'!DI43</f>
        <v>10.067</v>
      </c>
      <c r="K43" s="154" t="n">
        <f aca="false">'FlowCal Raw'!DJ43</f>
        <v>3.911</v>
      </c>
      <c r="L43" s="154" t="n">
        <f aca="false">'FlowCal Raw'!DK43</f>
        <v>0.559</v>
      </c>
      <c r="M43" s="154" t="n">
        <f aca="false">'FlowCal Raw'!DL43</f>
        <v>1.238</v>
      </c>
      <c r="N43" s="154" t="n">
        <f aca="false">'FlowCal Raw'!DM43</f>
        <v>0.338</v>
      </c>
      <c r="O43" s="154" t="n">
        <f aca="false">'FlowCal Raw'!DN43</f>
        <v>0.403</v>
      </c>
      <c r="P43" s="154" t="n">
        <f aca="false">SUM('FlowCal Raw'!DO43:DT43)</f>
        <v>1.389</v>
      </c>
    </row>
    <row r="44" customFormat="false" ht="15.75" hidden="false" customHeight="true" outlineLevel="0" collapsed="false">
      <c r="A44" s="142" t="str">
        <f aca="false">'FlowCal Raw'!C44</f>
        <v>2.12.1</v>
      </c>
      <c r="B44" s="142" t="str">
        <f aca="false">'FlowCal Raw'!D44</f>
        <v>Quito CDP MTR #1</v>
      </c>
      <c r="C44" s="142" t="n">
        <f aca="false">'FlowCal Raw'!E44</f>
        <v>0</v>
      </c>
      <c r="D44" s="142" t="n">
        <f aca="false">'FlowCal Raw'!F44</f>
        <v>0</v>
      </c>
      <c r="E44" s="81" t="n">
        <f aca="false">'FlowCal Raw'!I44</f>
        <v>1072.10043367776</v>
      </c>
      <c r="F44" s="81" t="n">
        <f aca="false">'FlowCal Raw'!J44</f>
        <v>80.4026728855666</v>
      </c>
      <c r="G44" s="154" t="n">
        <f aca="false">'FlowCal Raw'!DF44</f>
        <v>0.18</v>
      </c>
      <c r="H44" s="154" t="n">
        <f aca="false">'FlowCal Raw'!DG44</f>
        <v>0.631</v>
      </c>
      <c r="I44" s="154" t="n">
        <f aca="false">'FlowCal Raw'!DH44</f>
        <v>85.971</v>
      </c>
      <c r="J44" s="154" t="n">
        <f aca="false">'FlowCal Raw'!DI44</f>
        <v>7.221</v>
      </c>
      <c r="K44" s="154" t="n">
        <f aca="false">'FlowCal Raw'!DJ44</f>
        <v>3.24</v>
      </c>
      <c r="L44" s="154" t="n">
        <f aca="false">'FlowCal Raw'!DK44</f>
        <v>0.432</v>
      </c>
      <c r="M44" s="154" t="n">
        <f aca="false">'FlowCal Raw'!DL44</f>
        <v>1.094</v>
      </c>
      <c r="N44" s="154" t="n">
        <f aca="false">'FlowCal Raw'!DM44</f>
        <v>0.289</v>
      </c>
      <c r="O44" s="154" t="n">
        <f aca="false">'FlowCal Raw'!DN44</f>
        <v>0.353</v>
      </c>
      <c r="P44" s="154" t="n">
        <f aca="false">SUM('FlowCal Raw'!DO44:DT44)</f>
        <v>0.589</v>
      </c>
    </row>
    <row r="45" customFormat="false" ht="15.75" hidden="false" customHeight="true" outlineLevel="0" collapsed="false">
      <c r="A45" s="142" t="str">
        <f aca="false">'FlowCal Raw'!C45</f>
        <v>2.12.2</v>
      </c>
      <c r="B45" s="142" t="str">
        <f aca="false">'FlowCal Raw'!D45</f>
        <v>Quito CDP MTR #2</v>
      </c>
      <c r="C45" s="142" t="n">
        <f aca="false">'FlowCal Raw'!E45</f>
        <v>374548.34</v>
      </c>
      <c r="D45" s="142" t="n">
        <f aca="false">'FlowCal Raw'!F45</f>
        <v>443090.69</v>
      </c>
      <c r="E45" s="81" t="n">
        <f aca="false">'FlowCal Raw'!I45</f>
        <v>1072.8447571181</v>
      </c>
      <c r="F45" s="81" t="n">
        <f aca="false">'FlowCal Raw'!J45</f>
        <v>87.6964028917184</v>
      </c>
      <c r="G45" s="154" t="n">
        <f aca="false">'FlowCal Raw'!DF45</f>
        <v>0.18</v>
      </c>
      <c r="H45" s="154" t="n">
        <f aca="false">'FlowCal Raw'!DG45</f>
        <v>0.631</v>
      </c>
      <c r="I45" s="154" t="n">
        <f aca="false">'FlowCal Raw'!DH45</f>
        <v>85.971</v>
      </c>
      <c r="J45" s="154" t="n">
        <f aca="false">'FlowCal Raw'!DI45</f>
        <v>7.221</v>
      </c>
      <c r="K45" s="154" t="n">
        <f aca="false">'FlowCal Raw'!DJ45</f>
        <v>3.24</v>
      </c>
      <c r="L45" s="154" t="n">
        <f aca="false">'FlowCal Raw'!DK45</f>
        <v>0.432</v>
      </c>
      <c r="M45" s="154" t="n">
        <f aca="false">'FlowCal Raw'!DL45</f>
        <v>1.094</v>
      </c>
      <c r="N45" s="154" t="n">
        <f aca="false">'FlowCal Raw'!DM45</f>
        <v>0.289</v>
      </c>
      <c r="O45" s="154" t="n">
        <f aca="false">'FlowCal Raw'!DN45</f>
        <v>0.353</v>
      </c>
      <c r="P45" s="154" t="n">
        <f aca="false">SUM('FlowCal Raw'!DO45:DT45)</f>
        <v>0.589</v>
      </c>
    </row>
    <row r="46" customFormat="false" ht="15.75" hidden="false" customHeight="true" outlineLevel="0" collapsed="false">
      <c r="A46" s="142" t="str">
        <f aca="false">'FlowCal Raw'!C46</f>
        <v>2.13.1</v>
      </c>
      <c r="B46" s="142" t="str">
        <f aca="false">'FlowCal Raw'!D46</f>
        <v>Brazos CDP</v>
      </c>
      <c r="C46" s="142" t="n">
        <f aca="false">'FlowCal Raw'!E46</f>
        <v>70367.31</v>
      </c>
      <c r="D46" s="142" t="n">
        <f aca="false">'FlowCal Raw'!F46</f>
        <v>85355.54</v>
      </c>
      <c r="E46" s="81" t="n">
        <f aca="false">'FlowCal Raw'!I46</f>
        <v>973.057708345714</v>
      </c>
      <c r="F46" s="81" t="n">
        <f aca="false">'FlowCal Raw'!J46</f>
        <v>91.995710297439</v>
      </c>
      <c r="G46" s="154" t="n">
        <f aca="false">'FlowCal Raw'!DF46</f>
        <v>0.419</v>
      </c>
      <c r="H46" s="154" t="n">
        <f aca="false">'FlowCal Raw'!DG46</f>
        <v>0.77</v>
      </c>
      <c r="I46" s="154" t="n">
        <f aca="false">'FlowCal Raw'!DH46</f>
        <v>82.547</v>
      </c>
      <c r="J46" s="154" t="n">
        <f aca="false">'FlowCal Raw'!DI46</f>
        <v>8.933</v>
      </c>
      <c r="K46" s="154" t="n">
        <f aca="false">'FlowCal Raw'!DJ46</f>
        <v>4.244</v>
      </c>
      <c r="L46" s="154" t="n">
        <f aca="false">'FlowCal Raw'!DK46</f>
        <v>0.497</v>
      </c>
      <c r="M46" s="154" t="n">
        <f aca="false">'FlowCal Raw'!DL46</f>
        <v>1.429</v>
      </c>
      <c r="N46" s="154" t="n">
        <f aca="false">'FlowCal Raw'!DM46</f>
        <v>0.306</v>
      </c>
      <c r="O46" s="154" t="n">
        <f aca="false">'FlowCal Raw'!DN46</f>
        <v>0.393</v>
      </c>
      <c r="P46" s="154" t="n">
        <f aca="false">SUM('FlowCal Raw'!DO46:DT46)</f>
        <v>0.462</v>
      </c>
    </row>
    <row r="47" customFormat="false" ht="15.75" hidden="false" customHeight="true" outlineLevel="0" collapsed="false">
      <c r="A47" s="142" t="str">
        <f aca="false">'FlowCal Raw'!C47</f>
        <v>2.13.2</v>
      </c>
      <c r="B47" s="142" t="str">
        <f aca="false">'FlowCal Raw'!D47</f>
        <v>Abigail CDP</v>
      </c>
      <c r="C47" s="142" t="n">
        <f aca="false">'FlowCal Raw'!E47</f>
        <v>24409.81</v>
      </c>
      <c r="D47" s="142" t="n">
        <f aca="false">'FlowCal Raw'!F47</f>
        <v>29755.56</v>
      </c>
      <c r="E47" s="81" t="n">
        <f aca="false">'FlowCal Raw'!I47</f>
        <v>51.0619260629611</v>
      </c>
      <c r="F47" s="81" t="n">
        <f aca="false">'FlowCal Raw'!J47</f>
        <v>82.8667216876883</v>
      </c>
      <c r="G47" s="154" t="n">
        <f aca="false">'FlowCal Raw'!DF47</f>
        <v>0.226</v>
      </c>
      <c r="H47" s="154" t="n">
        <f aca="false">'FlowCal Raw'!DG47</f>
        <v>0.596</v>
      </c>
      <c r="I47" s="154" t="n">
        <f aca="false">'FlowCal Raw'!DH47</f>
        <v>84.175</v>
      </c>
      <c r="J47" s="154" t="n">
        <f aca="false">'FlowCal Raw'!DI47</f>
        <v>7.74</v>
      </c>
      <c r="K47" s="154" t="n">
        <f aca="false">'FlowCal Raw'!DJ47</f>
        <v>3.77</v>
      </c>
      <c r="L47" s="154" t="n">
        <f aca="false">'FlowCal Raw'!DK47</f>
        <v>0.51</v>
      </c>
      <c r="M47" s="154" t="n">
        <f aca="false">'FlowCal Raw'!DL47</f>
        <v>1.289</v>
      </c>
      <c r="N47" s="154" t="n">
        <f aca="false">'FlowCal Raw'!DM47</f>
        <v>0.342</v>
      </c>
      <c r="O47" s="154" t="n">
        <f aca="false">'FlowCal Raw'!DN47</f>
        <v>0.414</v>
      </c>
      <c r="P47" s="154" t="n">
        <f aca="false">SUM('FlowCal Raw'!DO47:DT47)</f>
        <v>0.938</v>
      </c>
    </row>
    <row r="48" customFormat="false" ht="15.75" hidden="false" customHeight="true" outlineLevel="0" collapsed="false">
      <c r="A48" s="142" t="str">
        <f aca="false">'FlowCal Raw'!C48</f>
        <v>2.13.3</v>
      </c>
      <c r="B48" s="142" t="str">
        <f aca="false">'FlowCal Raw'!D48</f>
        <v>Emma CDP</v>
      </c>
      <c r="C48" s="142" t="n">
        <f aca="false">'FlowCal Raw'!E48</f>
        <v>45054.18</v>
      </c>
      <c r="D48" s="142" t="n">
        <f aca="false">'FlowCal Raw'!F48</f>
        <v>55281.48</v>
      </c>
      <c r="E48" s="81" t="n">
        <f aca="false">'FlowCal Raw'!I48</f>
        <v>49.5570783675895</v>
      </c>
      <c r="F48" s="81" t="n">
        <f aca="false">'FlowCal Raw'!J48</f>
        <v>85.566671841253</v>
      </c>
      <c r="G48" s="154" t="n">
        <f aca="false">'FlowCal Raw'!DF48</f>
        <v>0.121</v>
      </c>
      <c r="H48" s="154" t="n">
        <f aca="false">'FlowCal Raw'!DG48</f>
        <v>0.673</v>
      </c>
      <c r="I48" s="154" t="n">
        <f aca="false">'FlowCal Raw'!DH48</f>
        <v>84.205</v>
      </c>
      <c r="J48" s="154" t="n">
        <f aca="false">'FlowCal Raw'!DI48</f>
        <v>7.615</v>
      </c>
      <c r="K48" s="154" t="n">
        <f aca="false">'FlowCal Raw'!DJ48</f>
        <v>3.665</v>
      </c>
      <c r="L48" s="154" t="n">
        <f aca="false">'FlowCal Raw'!DK48</f>
        <v>0.5</v>
      </c>
      <c r="M48" s="154" t="n">
        <f aca="false">'FlowCal Raw'!DL48</f>
        <v>1.279</v>
      </c>
      <c r="N48" s="154" t="n">
        <f aca="false">'FlowCal Raw'!DM48</f>
        <v>0.353</v>
      </c>
      <c r="O48" s="154" t="n">
        <f aca="false">'FlowCal Raw'!DN48</f>
        <v>0.431</v>
      </c>
      <c r="P48" s="154" t="n">
        <f aca="false">SUM('FlowCal Raw'!DO48:DT48)</f>
        <v>1.158</v>
      </c>
    </row>
    <row r="49" customFormat="false" ht="15.75" hidden="false" customHeight="true" outlineLevel="0" collapsed="false">
      <c r="A49" s="142" t="str">
        <f aca="false">'FlowCal Raw'!C49</f>
        <v>2.14.1</v>
      </c>
      <c r="B49" s="142" t="str">
        <f aca="false">'FlowCal Raw'!D49</f>
        <v>Crestwood CDP</v>
      </c>
      <c r="C49" s="142" t="n">
        <f aca="false">'FlowCal Raw'!E49</f>
        <v>300611.73</v>
      </c>
      <c r="D49" s="142" t="n">
        <f aca="false">'FlowCal Raw'!F49</f>
        <v>365543.87</v>
      </c>
      <c r="E49" s="81" t="n">
        <f aca="false">'FlowCal Raw'!I49</f>
        <v>1081.55375682149</v>
      </c>
      <c r="F49" s="81" t="n">
        <f aca="false">'FlowCal Raw'!J49</f>
        <v>103.890276618182</v>
      </c>
      <c r="G49" s="154" t="n">
        <f aca="false">'FlowCal Raw'!DF49</f>
        <v>0.182</v>
      </c>
      <c r="H49" s="154" t="n">
        <f aca="false">'FlowCal Raw'!DG49</f>
        <v>0.667</v>
      </c>
      <c r="I49" s="154" t="n">
        <f aca="false">'FlowCal Raw'!DH49</f>
        <v>84.115</v>
      </c>
      <c r="J49" s="154" t="n">
        <f aca="false">'FlowCal Raw'!DI49</f>
        <v>7.703</v>
      </c>
      <c r="K49" s="154" t="n">
        <f aca="false">'FlowCal Raw'!DJ49</f>
        <v>3.801</v>
      </c>
      <c r="L49" s="154" t="n">
        <f aca="false">'FlowCal Raw'!DK49</f>
        <v>0.53</v>
      </c>
      <c r="M49" s="154" t="n">
        <f aca="false">'FlowCal Raw'!DL49</f>
        <v>1.449</v>
      </c>
      <c r="N49" s="154" t="n">
        <f aca="false">'FlowCal Raw'!DM49</f>
        <v>0.406</v>
      </c>
      <c r="O49" s="154" t="n">
        <f aca="false">'FlowCal Raw'!DN49</f>
        <v>0.511</v>
      </c>
      <c r="P49" s="154" t="n">
        <f aca="false">SUM('FlowCal Raw'!DO49:DT49)</f>
        <v>0.636</v>
      </c>
    </row>
    <row r="50" customFormat="false" ht="15.75" hidden="false" customHeight="true" outlineLevel="0" collapsed="false">
      <c r="A50" s="142" t="str">
        <f aca="false">'FlowCal Raw'!C50</f>
        <v>2.15.1</v>
      </c>
      <c r="B50" s="142" t="str">
        <f aca="false">'FlowCal Raw'!D50</f>
        <v>Jim Ed CDP</v>
      </c>
      <c r="C50" s="142" t="n">
        <f aca="false">'FlowCal Raw'!E50</f>
        <v>187564.33</v>
      </c>
      <c r="D50" s="142" t="n">
        <f aca="false">'FlowCal Raw'!F50</f>
        <v>235768.36</v>
      </c>
      <c r="E50" s="81" t="n">
        <f aca="false">'FlowCal Raw'!I50</f>
        <v>1010.776796584</v>
      </c>
      <c r="F50" s="81" t="n">
        <f aca="false">'FlowCal Raw'!J50</f>
        <v>85.8545616006886</v>
      </c>
      <c r="G50" s="154" t="n">
        <f aca="false">'FlowCal Raw'!DF50</f>
        <v>0.412</v>
      </c>
      <c r="H50" s="154" t="n">
        <f aca="false">'FlowCal Raw'!DG50</f>
        <v>1.991</v>
      </c>
      <c r="I50" s="154" t="n">
        <f aca="false">'FlowCal Raw'!DH50</f>
        <v>79.423</v>
      </c>
      <c r="J50" s="154" t="n">
        <f aca="false">'FlowCal Raw'!DI50</f>
        <v>8.872</v>
      </c>
      <c r="K50" s="154" t="n">
        <f aca="false">'FlowCal Raw'!DJ50</f>
        <v>4.711</v>
      </c>
      <c r="L50" s="154" t="n">
        <f aca="false">'FlowCal Raw'!DK50</f>
        <v>0.606</v>
      </c>
      <c r="M50" s="154" t="n">
        <f aca="false">'FlowCal Raw'!DL50</f>
        <v>1.747</v>
      </c>
      <c r="N50" s="154" t="n">
        <f aca="false">'FlowCal Raw'!DM50</f>
        <v>0.53</v>
      </c>
      <c r="O50" s="154" t="n">
        <f aca="false">'FlowCal Raw'!DN50</f>
        <v>0.577</v>
      </c>
      <c r="P50" s="154" t="n">
        <f aca="false">SUM('FlowCal Raw'!DO50:DT50)</f>
        <v>1.131</v>
      </c>
    </row>
    <row r="51" customFormat="false" ht="15.75" hidden="false" customHeight="true" outlineLevel="0" collapsed="false">
      <c r="A51" s="142" t="str">
        <f aca="false">'FlowCal Raw'!C51</f>
        <v>2.15.2</v>
      </c>
      <c r="B51" s="142" t="str">
        <f aca="false">'FlowCal Raw'!D51</f>
        <v>Parker CDP</v>
      </c>
      <c r="C51" s="142" t="n">
        <f aca="false">'FlowCal Raw'!E51</f>
        <v>425503.15</v>
      </c>
      <c r="D51" s="142" t="n">
        <f aca="false">'FlowCal Raw'!F51</f>
        <v>574003.75</v>
      </c>
      <c r="E51" s="81" t="n">
        <f aca="false">'FlowCal Raw'!I51</f>
        <v>1078.86716495236</v>
      </c>
      <c r="F51" s="81" t="n">
        <f aca="false">'FlowCal Raw'!J51</f>
        <v>102.10348821627</v>
      </c>
      <c r="G51" s="154" t="n">
        <f aca="false">'FlowCal Raw'!DF51</f>
        <v>0.714</v>
      </c>
      <c r="H51" s="154" t="n">
        <f aca="false">'FlowCal Raw'!DG51</f>
        <v>1.323</v>
      </c>
      <c r="I51" s="154" t="n">
        <f aca="false">'FlowCal Raw'!DH51</f>
        <v>71.66</v>
      </c>
      <c r="J51" s="154" t="n">
        <f aca="false">'FlowCal Raw'!DI51</f>
        <v>12.662</v>
      </c>
      <c r="K51" s="154" t="n">
        <f aca="false">'FlowCal Raw'!DJ51</f>
        <v>8.253</v>
      </c>
      <c r="L51" s="154" t="n">
        <f aca="false">'FlowCal Raw'!DK51</f>
        <v>0.986</v>
      </c>
      <c r="M51" s="154" t="n">
        <f aca="false">'FlowCal Raw'!DL51</f>
        <v>2.889</v>
      </c>
      <c r="N51" s="154" t="n">
        <f aca="false">'FlowCal Raw'!DM51</f>
        <v>0.538</v>
      </c>
      <c r="O51" s="154" t="n">
        <f aca="false">'FlowCal Raw'!DN51</f>
        <v>0.574</v>
      </c>
      <c r="P51" s="154" t="n">
        <f aca="false">SUM('FlowCal Raw'!DO51:DT51)</f>
        <v>0.401</v>
      </c>
    </row>
    <row r="52" customFormat="false" ht="15.75" hidden="false" customHeight="true" outlineLevel="0" collapsed="false">
      <c r="A52" s="142" t="str">
        <f aca="false">'FlowCal Raw'!C52</f>
        <v>2.15.3</v>
      </c>
      <c r="B52" s="142" t="str">
        <f aca="false">'FlowCal Raw'!D52</f>
        <v>Parker 2 CDP</v>
      </c>
      <c r="C52" s="142" t="n">
        <f aca="false">'FlowCal Raw'!E52</f>
        <v>0</v>
      </c>
      <c r="D52" s="142" t="n">
        <f aca="false">'FlowCal Raw'!F52</f>
        <v>0</v>
      </c>
      <c r="E52" s="81" t="n">
        <f aca="false">'FlowCal Raw'!I52</f>
        <v>13.0581845275817</v>
      </c>
      <c r="F52" s="81" t="n">
        <f aca="false">'FlowCal Raw'!J52</f>
        <v>79.8914801741159</v>
      </c>
      <c r="G52" s="154" t="n">
        <f aca="false">'FlowCal Raw'!DF52</f>
        <v>0</v>
      </c>
      <c r="H52" s="154" t="n">
        <f aca="false">'FlowCal Raw'!DG52</f>
        <v>0</v>
      </c>
      <c r="I52" s="154" t="n">
        <f aca="false">'FlowCal Raw'!DH52</f>
        <v>100</v>
      </c>
      <c r="J52" s="154" t="n">
        <f aca="false">'FlowCal Raw'!DI52</f>
        <v>0</v>
      </c>
      <c r="K52" s="154" t="n">
        <f aca="false">'FlowCal Raw'!DJ52</f>
        <v>0</v>
      </c>
      <c r="L52" s="154" t="n">
        <f aca="false">'FlowCal Raw'!DK52</f>
        <v>0</v>
      </c>
      <c r="M52" s="154" t="n">
        <f aca="false">'FlowCal Raw'!DL52</f>
        <v>0</v>
      </c>
      <c r="N52" s="154" t="n">
        <f aca="false">'FlowCal Raw'!DM52</f>
        <v>0</v>
      </c>
      <c r="O52" s="154" t="n">
        <f aca="false">'FlowCal Raw'!DN52</f>
        <v>0</v>
      </c>
      <c r="P52" s="154" t="n">
        <f aca="false">SUM('FlowCal Raw'!DO52:DT52)</f>
        <v>0</v>
      </c>
    </row>
    <row r="53" customFormat="false" ht="15.75" hidden="false" customHeight="true" outlineLevel="0" collapsed="false">
      <c r="A53" s="142" t="str">
        <f aca="false">'FlowCal Raw'!C53</f>
        <v>2.16.1</v>
      </c>
      <c r="B53" s="142" t="str">
        <f aca="false">'FlowCal Raw'!D53</f>
        <v>Rock Ridge Federal CDP</v>
      </c>
      <c r="C53" s="142" t="n">
        <f aca="false">'FlowCal Raw'!E53</f>
        <v>226763.72</v>
      </c>
      <c r="D53" s="142" t="n">
        <f aca="false">'FlowCal Raw'!F53</f>
        <v>279599.66</v>
      </c>
      <c r="E53" s="81" t="n">
        <f aca="false">'FlowCal Raw'!I53</f>
        <v>76.7475360866855</v>
      </c>
      <c r="F53" s="81" t="n">
        <f aca="false">'FlowCal Raw'!J53</f>
        <v>81.8026421480001</v>
      </c>
      <c r="G53" s="154" t="n">
        <f aca="false">'FlowCal Raw'!DF53</f>
        <v>1.455</v>
      </c>
      <c r="H53" s="154" t="n">
        <f aca="false">'FlowCal Raw'!DG53</f>
        <v>1.173</v>
      </c>
      <c r="I53" s="154" t="n">
        <f aca="false">'FlowCal Raw'!DH53</f>
        <v>78.171</v>
      </c>
      <c r="J53" s="154" t="n">
        <f aca="false">'FlowCal Raw'!DI53</f>
        <v>10.944</v>
      </c>
      <c r="K53" s="154" t="n">
        <f aca="false">'FlowCal Raw'!DJ53</f>
        <v>4.824</v>
      </c>
      <c r="L53" s="154" t="n">
        <f aca="false">'FlowCal Raw'!DK53</f>
        <v>0.675</v>
      </c>
      <c r="M53" s="154" t="n">
        <f aca="false">'FlowCal Raw'!DL53</f>
        <v>1.477</v>
      </c>
      <c r="N53" s="154" t="n">
        <f aca="false">'FlowCal Raw'!DM53</f>
        <v>0.355</v>
      </c>
      <c r="O53" s="154" t="n">
        <f aca="false">'FlowCal Raw'!DN53</f>
        <v>0.375</v>
      </c>
      <c r="P53" s="154" t="n">
        <f aca="false">SUM('FlowCal Raw'!DO53:DT53)</f>
        <v>0.551</v>
      </c>
    </row>
    <row r="54" customFormat="false" ht="15.75" hidden="false" customHeight="true" outlineLevel="0" collapsed="false">
      <c r="A54" s="142" t="str">
        <f aca="false">'FlowCal Raw'!C54</f>
        <v>2.17.1</v>
      </c>
      <c r="B54" s="142" t="str">
        <f aca="false">'FlowCal Raw'!D54</f>
        <v>Roy CDP</v>
      </c>
      <c r="C54" s="142" t="n">
        <f aca="false">'FlowCal Raw'!E54</f>
        <v>51042.07</v>
      </c>
      <c r="D54" s="142" t="n">
        <f aca="false">'FlowCal Raw'!F54</f>
        <v>72326.62</v>
      </c>
      <c r="E54" s="81" t="n">
        <f aca="false">'FlowCal Raw'!I54</f>
        <v>60.0657130651393</v>
      </c>
      <c r="F54" s="81" t="n">
        <f aca="false">'FlowCal Raw'!J54</f>
        <v>86.4286313256076</v>
      </c>
      <c r="G54" s="154" t="n">
        <f aca="false">'FlowCal Raw'!DF54</f>
        <v>0.35</v>
      </c>
      <c r="H54" s="154" t="n">
        <f aca="false">'FlowCal Raw'!DG54</f>
        <v>1.262</v>
      </c>
      <c r="I54" s="154" t="n">
        <f aca="false">'FlowCal Raw'!DH54</f>
        <v>69.271</v>
      </c>
      <c r="J54" s="154" t="n">
        <f aca="false">'FlowCal Raw'!DI54</f>
        <v>13.537</v>
      </c>
      <c r="K54" s="154" t="n">
        <f aca="false">'FlowCal Raw'!DJ54</f>
        <v>8.904</v>
      </c>
      <c r="L54" s="154" t="n">
        <f aca="false">'FlowCal Raw'!DK54</f>
        <v>0.965</v>
      </c>
      <c r="M54" s="154" t="n">
        <f aca="false">'FlowCal Raw'!DL54</f>
        <v>3.087</v>
      </c>
      <c r="N54" s="154" t="n">
        <f aca="false">'FlowCal Raw'!DM54</f>
        <v>0.627</v>
      </c>
      <c r="O54" s="154" t="n">
        <f aca="false">'FlowCal Raw'!DN54</f>
        <v>0.732</v>
      </c>
      <c r="P54" s="154" t="n">
        <f aca="false">SUM('FlowCal Raw'!DO54:DT54)</f>
        <v>1.265</v>
      </c>
    </row>
    <row r="55" customFormat="false" ht="15.75" hidden="false" customHeight="true" outlineLevel="0" collapsed="false">
      <c r="A55" s="142" t="str">
        <f aca="false">'FlowCal Raw'!C55</f>
        <v>2.17.2</v>
      </c>
      <c r="B55" s="142" t="str">
        <f aca="false">'FlowCal Raw'!D55</f>
        <v>Flat Head CDP</v>
      </c>
      <c r="C55" s="142" t="n">
        <f aca="false">'FlowCal Raw'!E55</f>
        <v>23172.18</v>
      </c>
      <c r="D55" s="142" t="n">
        <f aca="false">'FlowCal Raw'!F55</f>
        <v>35036.33</v>
      </c>
      <c r="E55" s="81" t="n">
        <f aca="false">'FlowCal Raw'!I55</f>
        <v>63.8645241642939</v>
      </c>
      <c r="F55" s="81" t="n">
        <f aca="false">'FlowCal Raw'!J55</f>
        <v>90.353664943909</v>
      </c>
      <c r="G55" s="154" t="n">
        <f aca="false">'FlowCal Raw'!DF55</f>
        <v>0.386</v>
      </c>
      <c r="H55" s="154" t="n">
        <f aca="false">'FlowCal Raw'!DG55</f>
        <v>1.243</v>
      </c>
      <c r="I55" s="154" t="n">
        <f aca="false">'FlowCal Raw'!DH55</f>
        <v>66.996</v>
      </c>
      <c r="J55" s="154" t="n">
        <f aca="false">'FlowCal Raw'!DI55</f>
        <v>12.796</v>
      </c>
      <c r="K55" s="154" t="n">
        <f aca="false">'FlowCal Raw'!DJ55</f>
        <v>9.021</v>
      </c>
      <c r="L55" s="154" t="n">
        <f aca="false">'FlowCal Raw'!DK55</f>
        <v>1.124</v>
      </c>
      <c r="M55" s="154" t="n">
        <f aca="false">'FlowCal Raw'!DL55</f>
        <v>3.668</v>
      </c>
      <c r="N55" s="154" t="n">
        <f aca="false">'FlowCal Raw'!DM55</f>
        <v>0.902</v>
      </c>
      <c r="O55" s="154" t="n">
        <f aca="false">'FlowCal Raw'!DN55</f>
        <v>1.16</v>
      </c>
      <c r="P55" s="154" t="n">
        <f aca="false">SUM('FlowCal Raw'!DO55:DT55)</f>
        <v>2.704</v>
      </c>
    </row>
    <row r="56" customFormat="false" ht="15.75" hidden="false" customHeight="true" outlineLevel="0" collapsed="false">
      <c r="A56" s="142" t="str">
        <f aca="false">'FlowCal Raw'!C56</f>
        <v>2.17.3</v>
      </c>
      <c r="B56" s="142" t="str">
        <f aca="false">'FlowCal Raw'!D56</f>
        <v>Jeff East CDP</v>
      </c>
      <c r="C56" s="142" t="n">
        <f aca="false">'FlowCal Raw'!E56</f>
        <v>164470.78</v>
      </c>
      <c r="D56" s="142" t="n">
        <f aca="false">'FlowCal Raw'!F56</f>
        <v>231081.44</v>
      </c>
      <c r="E56" s="81" t="n">
        <f aca="false">'FlowCal Raw'!I56</f>
        <v>65.9651908970752</v>
      </c>
      <c r="F56" s="81" t="n">
        <f aca="false">'FlowCal Raw'!J56</f>
        <v>102.01060011026</v>
      </c>
      <c r="G56" s="154" t="n">
        <f aca="false">'FlowCal Raw'!DF56</f>
        <v>0.452</v>
      </c>
      <c r="H56" s="154" t="n">
        <f aca="false">'FlowCal Raw'!DG56</f>
        <v>1.557</v>
      </c>
      <c r="I56" s="154" t="n">
        <f aca="false">'FlowCal Raw'!DH56</f>
        <v>68.605</v>
      </c>
      <c r="J56" s="154" t="n">
        <f aca="false">'FlowCal Raw'!DI56</f>
        <v>13.605</v>
      </c>
      <c r="K56" s="154" t="n">
        <f aca="false">'FlowCal Raw'!DJ56</f>
        <v>9.30300000000001</v>
      </c>
      <c r="L56" s="154" t="n">
        <f aca="false">'FlowCal Raw'!DK56</f>
        <v>1.09</v>
      </c>
      <c r="M56" s="154" t="n">
        <f aca="false">'FlowCal Raw'!DL56</f>
        <v>3.269</v>
      </c>
      <c r="N56" s="154" t="n">
        <f aca="false">'FlowCal Raw'!DM56</f>
        <v>0.677</v>
      </c>
      <c r="O56" s="154" t="n">
        <f aca="false">'FlowCal Raw'!DN56</f>
        <v>0.726</v>
      </c>
      <c r="P56" s="154" t="n">
        <f aca="false">SUM('FlowCal Raw'!DO56:DT56)</f>
        <v>0.716</v>
      </c>
    </row>
    <row r="57" customFormat="false" ht="15.75" hidden="false" customHeight="true" outlineLevel="0" collapsed="false">
      <c r="A57" s="142" t="str">
        <f aca="false">'FlowCal Raw'!C57</f>
        <v>2.17.4</v>
      </c>
      <c r="B57" s="142" t="str">
        <f aca="false">'FlowCal Raw'!D57</f>
        <v>Gillette CDP</v>
      </c>
      <c r="C57" s="142" t="n">
        <f aca="false">'FlowCal Raw'!E57</f>
        <v>17299.87</v>
      </c>
      <c r="D57" s="142" t="n">
        <f aca="false">'FlowCal Raw'!F57</f>
        <v>23960.32</v>
      </c>
      <c r="E57" s="81" t="n">
        <f aca="false">'FlowCal Raw'!I57</f>
        <v>66.6407443036375</v>
      </c>
      <c r="F57" s="81" t="n">
        <f aca="false">'FlowCal Raw'!J57</f>
        <v>80.2689928116755</v>
      </c>
      <c r="G57" s="154" t="n">
        <f aca="false">'FlowCal Raw'!DF57</f>
        <v>0.67</v>
      </c>
      <c r="H57" s="154" t="n">
        <f aca="false">'FlowCal Raw'!DG57</f>
        <v>1.207</v>
      </c>
      <c r="I57" s="154" t="n">
        <f aca="false">'FlowCal Raw'!DH57</f>
        <v>69.703</v>
      </c>
      <c r="J57" s="154" t="n">
        <f aca="false">'FlowCal Raw'!DI57</f>
        <v>13.688</v>
      </c>
      <c r="K57" s="154" t="n">
        <f aca="false">'FlowCal Raw'!DJ57</f>
        <v>8.957</v>
      </c>
      <c r="L57" s="154" t="n">
        <f aca="false">'FlowCal Raw'!DK57</f>
        <v>0.956</v>
      </c>
      <c r="M57" s="154" t="n">
        <f aca="false">'FlowCal Raw'!DL57</f>
        <v>2.885</v>
      </c>
      <c r="N57" s="154" t="n">
        <f aca="false">'FlowCal Raw'!DM57</f>
        <v>0.548</v>
      </c>
      <c r="O57" s="154" t="n">
        <f aca="false">'FlowCal Raw'!DN57</f>
        <v>0.611</v>
      </c>
      <c r="P57" s="154" t="n">
        <f aca="false">SUM('FlowCal Raw'!DO57:DT57)</f>
        <v>0.775</v>
      </c>
    </row>
    <row r="58" customFormat="false" ht="15.75" hidden="false" customHeight="true" outlineLevel="0" collapsed="false">
      <c r="A58" s="142" t="str">
        <f aca="false">'FlowCal Raw'!C58</f>
        <v>2.17.5</v>
      </c>
      <c r="B58" s="142" t="str">
        <f aca="false">'FlowCal Raw'!D58</f>
        <v>Yellowtail CDP</v>
      </c>
      <c r="C58" s="142" t="n">
        <f aca="false">'FlowCal Raw'!E58</f>
        <v>93835.16</v>
      </c>
      <c r="D58" s="142" t="n">
        <f aca="false">'FlowCal Raw'!F58</f>
        <v>137843.85</v>
      </c>
      <c r="E58" s="81" t="n">
        <f aca="false">'FlowCal Raw'!I58</f>
        <v>62.1874120252386</v>
      </c>
      <c r="F58" s="81" t="n">
        <f aca="false">'FlowCal Raw'!J58</f>
        <v>86.1468728699175</v>
      </c>
      <c r="G58" s="154" t="n">
        <f aca="false">'FlowCal Raw'!DF58</f>
        <v>0.674</v>
      </c>
      <c r="H58" s="154" t="n">
        <f aca="false">'FlowCal Raw'!DG58</f>
        <v>1.324</v>
      </c>
      <c r="I58" s="154" t="n">
        <f aca="false">'FlowCal Raw'!DH58</f>
        <v>67.68</v>
      </c>
      <c r="J58" s="154" t="n">
        <f aca="false">'FlowCal Raw'!DI58</f>
        <v>13.238</v>
      </c>
      <c r="K58" s="154" t="n">
        <f aca="false">'FlowCal Raw'!DJ58</f>
        <v>8.748</v>
      </c>
      <c r="L58" s="154" t="n">
        <f aca="false">'FlowCal Raw'!DK58</f>
        <v>1.033</v>
      </c>
      <c r="M58" s="154" t="n">
        <f aca="false">'FlowCal Raw'!DL58</f>
        <v>3.276</v>
      </c>
      <c r="N58" s="154" t="n">
        <f aca="false">'FlowCal Raw'!DM58</f>
        <v>0.778</v>
      </c>
      <c r="O58" s="154" t="n">
        <f aca="false">'FlowCal Raw'!DN58</f>
        <v>0.912</v>
      </c>
      <c r="P58" s="154" t="n">
        <f aca="false">SUM('FlowCal Raw'!DO58:DT58)</f>
        <v>2.337</v>
      </c>
    </row>
    <row r="59" customFormat="false" ht="15.75" hidden="false" customHeight="true" outlineLevel="0" collapsed="false">
      <c r="A59" s="142" t="str">
        <f aca="false">'FlowCal Raw'!C59</f>
        <v>2.17.6</v>
      </c>
      <c r="B59" s="142" t="str">
        <f aca="false">'FlowCal Raw'!D59</f>
        <v>Wild Jenny CDP</v>
      </c>
      <c r="C59" s="142" t="n">
        <f aca="false">'FlowCal Raw'!E59</f>
        <v>135025.2</v>
      </c>
      <c r="D59" s="142" t="n">
        <f aca="false">'FlowCal Raw'!F59</f>
        <v>181203.81</v>
      </c>
      <c r="E59" s="81" t="n">
        <f aca="false">'FlowCal Raw'!I59</f>
        <v>64.1920752716389</v>
      </c>
      <c r="F59" s="81" t="n">
        <f aca="false">'FlowCal Raw'!J59</f>
        <v>99.6528658427098</v>
      </c>
      <c r="G59" s="154" t="n">
        <f aca="false">'FlowCal Raw'!DF59</f>
        <v>0.231</v>
      </c>
      <c r="H59" s="154" t="n">
        <f aca="false">'FlowCal Raw'!DG59</f>
        <v>0.898</v>
      </c>
      <c r="I59" s="154" t="n">
        <f aca="false">'FlowCal Raw'!DH59</f>
        <v>77.321</v>
      </c>
      <c r="J59" s="154" t="n">
        <f aca="false">'FlowCal Raw'!DI59</f>
        <v>9.42</v>
      </c>
      <c r="K59" s="154" t="n">
        <f aca="false">'FlowCal Raw'!DJ59</f>
        <v>6.01</v>
      </c>
      <c r="L59" s="154" t="n">
        <f aca="false">'FlowCal Raw'!DK59</f>
        <v>0.761</v>
      </c>
      <c r="M59" s="154" t="n">
        <f aca="false">'FlowCal Raw'!DL59</f>
        <v>2.32</v>
      </c>
      <c r="N59" s="154" t="n">
        <f aca="false">'FlowCal Raw'!DM59</f>
        <v>0.588</v>
      </c>
      <c r="O59" s="154" t="n">
        <f aca="false">'FlowCal Raw'!DN59</f>
        <v>0.705</v>
      </c>
      <c r="P59" s="154" t="n">
        <f aca="false">SUM('FlowCal Raw'!DO59:DT59)</f>
        <v>1.746</v>
      </c>
    </row>
    <row r="60" customFormat="false" ht="15.75" hidden="false" customHeight="true" outlineLevel="0" collapsed="false">
      <c r="A60" s="142" t="str">
        <f aca="false">'FlowCal Raw'!C60</f>
        <v>2.18.1</v>
      </c>
      <c r="B60" s="142" t="str">
        <f aca="false">'FlowCal Raw'!D60</f>
        <v>Mazer CDP</v>
      </c>
      <c r="C60" s="142" t="n">
        <f aca="false">'FlowCal Raw'!E60</f>
        <v>62525.86</v>
      </c>
      <c r="D60" s="142" t="n">
        <f aca="false">'FlowCal Raw'!F60</f>
        <v>81971.41</v>
      </c>
      <c r="E60" s="81" t="n">
        <f aca="false">'FlowCal Raw'!I60</f>
        <v>70.555804925251</v>
      </c>
      <c r="F60" s="81" t="n">
        <f aca="false">'FlowCal Raw'!J60</f>
        <v>84.839565504966</v>
      </c>
      <c r="G60" s="154" t="n">
        <f aca="false">'FlowCal Raw'!DF60</f>
        <v>0.117</v>
      </c>
      <c r="H60" s="154" t="n">
        <f aca="false">'FlowCal Raw'!DG60</f>
        <v>1.02</v>
      </c>
      <c r="I60" s="154" t="n">
        <f aca="false">'FlowCal Raw'!DH60</f>
        <v>75.73</v>
      </c>
      <c r="J60" s="154" t="n">
        <f aca="false">'FlowCal Raw'!DI60</f>
        <v>12.299</v>
      </c>
      <c r="K60" s="154" t="n">
        <f aca="false">'FlowCal Raw'!DJ60</f>
        <v>6.199</v>
      </c>
      <c r="L60" s="154" t="n">
        <f aca="false">'FlowCal Raw'!DK60</f>
        <v>0.854</v>
      </c>
      <c r="M60" s="154" t="n">
        <f aca="false">'FlowCal Raw'!DL60</f>
        <v>2.076</v>
      </c>
      <c r="N60" s="154" t="n">
        <f aca="false">'FlowCal Raw'!DM60</f>
        <v>0.475</v>
      </c>
      <c r="O60" s="154" t="n">
        <f aca="false">'FlowCal Raw'!DN60</f>
        <v>0.54</v>
      </c>
      <c r="P60" s="154" t="n">
        <f aca="false">SUM('FlowCal Raw'!DO60:DT60)</f>
        <v>0.69</v>
      </c>
    </row>
    <row r="61" customFormat="false" ht="15.75" hidden="false" customHeight="true" outlineLevel="0" collapsed="false">
      <c r="A61" s="142" t="str">
        <f aca="false">'FlowCal Raw'!C61</f>
        <v>2.18.2</v>
      </c>
      <c r="B61" s="142" t="str">
        <f aca="false">'FlowCal Raw'!D61</f>
        <v>King George CDP</v>
      </c>
      <c r="C61" s="142" t="n">
        <f aca="false">'FlowCal Raw'!E61</f>
        <v>66780.48</v>
      </c>
      <c r="D61" s="142" t="n">
        <f aca="false">'FlowCal Raw'!F61</f>
        <v>93559.45</v>
      </c>
      <c r="E61" s="81" t="n">
        <f aca="false">'FlowCal Raw'!I61</f>
        <v>60.6821671175185</v>
      </c>
      <c r="F61" s="81" t="n">
        <f aca="false">'FlowCal Raw'!J61</f>
        <v>87.1977908454652</v>
      </c>
      <c r="G61" s="154" t="n">
        <f aca="false">'FlowCal Raw'!DF61</f>
        <v>0.534</v>
      </c>
      <c r="H61" s="154" t="n">
        <f aca="false">'FlowCal Raw'!DG61</f>
        <v>0.769</v>
      </c>
      <c r="I61" s="154" t="n">
        <f aca="false">'FlowCal Raw'!DH61</f>
        <v>70.478</v>
      </c>
      <c r="J61" s="154" t="n">
        <f aca="false">'FlowCal Raw'!DI61</f>
        <v>14.337</v>
      </c>
      <c r="K61" s="154" t="n">
        <f aca="false">'FlowCal Raw'!DJ61</f>
        <v>7.781</v>
      </c>
      <c r="L61" s="154" t="n">
        <f aca="false">'FlowCal Raw'!DK61</f>
        <v>0.784</v>
      </c>
      <c r="M61" s="154" t="n">
        <f aca="false">'FlowCal Raw'!DL61</f>
        <v>2.504</v>
      </c>
      <c r="N61" s="154" t="n">
        <f aca="false">'FlowCal Raw'!DM61</f>
        <v>0.516</v>
      </c>
      <c r="O61" s="154" t="n">
        <f aca="false">'FlowCal Raw'!DN61</f>
        <v>0.772</v>
      </c>
      <c r="P61" s="154" t="n">
        <f aca="false">SUM('FlowCal Raw'!DO61:DT61)</f>
        <v>1.525</v>
      </c>
    </row>
    <row r="62" customFormat="false" ht="15.75" hidden="false" customHeight="true" outlineLevel="0" collapsed="false">
      <c r="A62" s="142" t="str">
        <f aca="false">'FlowCal Raw'!C62</f>
        <v>2.18.3</v>
      </c>
      <c r="B62" s="142" t="str">
        <f aca="false">'FlowCal Raw'!D62</f>
        <v>Rick Vaughn CDP</v>
      </c>
      <c r="C62" s="142" t="n">
        <f aca="false">'FlowCal Raw'!E62</f>
        <v>399850.83</v>
      </c>
      <c r="D62" s="142" t="n">
        <f aca="false">'FlowCal Raw'!F62</f>
        <v>554593.09</v>
      </c>
      <c r="E62" s="81" t="n">
        <f aca="false">'FlowCal Raw'!I62</f>
        <v>97.7599473820053</v>
      </c>
      <c r="F62" s="81" t="n">
        <f aca="false">'FlowCal Raw'!J62</f>
        <v>115.991547780407</v>
      </c>
      <c r="G62" s="154" t="n">
        <f aca="false">'FlowCal Raw'!DF62</f>
        <v>0.092</v>
      </c>
      <c r="H62" s="154" t="n">
        <f aca="false">'FlowCal Raw'!DG62</f>
        <v>0.82</v>
      </c>
      <c r="I62" s="154" t="n">
        <f aca="false">'FlowCal Raw'!DH62</f>
        <v>73.125</v>
      </c>
      <c r="J62" s="154" t="n">
        <f aca="false">'FlowCal Raw'!DI62</f>
        <v>12.76</v>
      </c>
      <c r="K62" s="154" t="n">
        <f aca="false">'FlowCal Raw'!DJ62</f>
        <v>6.744</v>
      </c>
      <c r="L62" s="154" t="n">
        <f aca="false">'FlowCal Raw'!DK62</f>
        <v>0.988</v>
      </c>
      <c r="M62" s="154" t="n">
        <f aca="false">'FlowCal Raw'!DL62</f>
        <v>2.458</v>
      </c>
      <c r="N62" s="154" t="n">
        <f aca="false">'FlowCal Raw'!DM62</f>
        <v>0.618</v>
      </c>
      <c r="O62" s="154" t="n">
        <f aca="false">'FlowCal Raw'!DN62</f>
        <v>0.766</v>
      </c>
      <c r="P62" s="154" t="n">
        <f aca="false">SUM('FlowCal Raw'!DO62:DT62)</f>
        <v>1.629</v>
      </c>
    </row>
    <row r="63" customFormat="false" ht="15.75" hidden="false" customHeight="true" outlineLevel="0" collapsed="false">
      <c r="A63" s="142" t="str">
        <f aca="false">'FlowCal Raw'!C63</f>
        <v>2.19.1</v>
      </c>
      <c r="B63" s="142" t="str">
        <f aca="false">'FlowCal Raw'!D63</f>
        <v>China Draw CDP</v>
      </c>
      <c r="C63" s="142" t="n">
        <f aca="false">'FlowCal Raw'!E63</f>
        <v>0</v>
      </c>
      <c r="D63" s="142" t="n">
        <f aca="false">'FlowCal Raw'!F63</f>
        <v>0</v>
      </c>
      <c r="E63" s="81" t="n">
        <f aca="false">'FlowCal Raw'!I63</f>
        <v>13.4748598170537</v>
      </c>
      <c r="F63" s="81" t="n">
        <f aca="false">'FlowCal Raw'!J63</f>
        <v>79.2792533546366</v>
      </c>
      <c r="G63" s="154" t="n">
        <f aca="false">'FlowCal Raw'!DF63</f>
        <v>0</v>
      </c>
      <c r="H63" s="154" t="n">
        <f aca="false">'FlowCal Raw'!DG63</f>
        <v>0</v>
      </c>
      <c r="I63" s="154" t="n">
        <f aca="false">'FlowCal Raw'!DH63</f>
        <v>100</v>
      </c>
      <c r="J63" s="154" t="n">
        <f aca="false">'FlowCal Raw'!DI63</f>
        <v>0</v>
      </c>
      <c r="K63" s="154" t="n">
        <f aca="false">'FlowCal Raw'!DJ63</f>
        <v>0</v>
      </c>
      <c r="L63" s="154" t="n">
        <f aca="false">'FlowCal Raw'!DK63</f>
        <v>0</v>
      </c>
      <c r="M63" s="154" t="n">
        <f aca="false">'FlowCal Raw'!DL63</f>
        <v>0</v>
      </c>
      <c r="N63" s="154" t="n">
        <f aca="false">'FlowCal Raw'!DM63</f>
        <v>0</v>
      </c>
      <c r="O63" s="154" t="n">
        <f aca="false">'FlowCal Raw'!DN63</f>
        <v>0</v>
      </c>
      <c r="P63" s="154" t="n">
        <f aca="false">SUM('FlowCal Raw'!DO63:DT63)</f>
        <v>0</v>
      </c>
    </row>
    <row r="64" customFormat="false" ht="15.75" hidden="false" customHeight="true" outlineLevel="0" collapsed="false">
      <c r="A64" s="142" t="str">
        <f aca="false">'FlowCal Raw'!C64</f>
        <v>3.00.11</v>
      </c>
      <c r="B64" s="142" t="str">
        <f aca="false">'FlowCal Raw'!D64</f>
        <v>Emma BuyBack</v>
      </c>
      <c r="C64" s="142" t="n">
        <f aca="false">'FlowCal Raw'!E64</f>
        <v>0</v>
      </c>
      <c r="D64" s="142" t="n">
        <f aca="false">'FlowCal Raw'!F64</f>
        <v>0</v>
      </c>
      <c r="E64" s="81" t="n">
        <f aca="false">'FlowCal Raw'!I64</f>
        <v>13.5630726903997</v>
      </c>
      <c r="F64" s="81" t="n">
        <f aca="false">'FlowCal Raw'!J64</f>
        <v>79.1279670910169</v>
      </c>
      <c r="G64" s="154" t="n">
        <f aca="false">'FlowCal Raw'!DF64</f>
        <v>0.121</v>
      </c>
      <c r="H64" s="154" t="n">
        <f aca="false">'FlowCal Raw'!DG64</f>
        <v>0.673000000000001</v>
      </c>
      <c r="I64" s="154" t="n">
        <f aca="false">'FlowCal Raw'!DH64</f>
        <v>84.2049999999999</v>
      </c>
      <c r="J64" s="154" t="n">
        <f aca="false">'FlowCal Raw'!DI64</f>
        <v>7.61500000000001</v>
      </c>
      <c r="K64" s="154" t="n">
        <f aca="false">'FlowCal Raw'!DJ64</f>
        <v>3.665</v>
      </c>
      <c r="L64" s="154" t="n">
        <f aca="false">'FlowCal Raw'!DK64</f>
        <v>0.5</v>
      </c>
      <c r="M64" s="154" t="n">
        <f aca="false">'FlowCal Raw'!DL64</f>
        <v>1.279</v>
      </c>
      <c r="N64" s="154" t="n">
        <f aca="false">'FlowCal Raw'!DM64</f>
        <v>0.353</v>
      </c>
      <c r="O64" s="154" t="n">
        <f aca="false">'FlowCal Raw'!DN64</f>
        <v>0.431</v>
      </c>
      <c r="P64" s="154" t="n">
        <f aca="false">SUM('FlowCal Raw'!DO64:DT64)</f>
        <v>1.158</v>
      </c>
    </row>
    <row r="65" customFormat="false" ht="15.75" hidden="false" customHeight="true" outlineLevel="0" collapsed="false">
      <c r="A65" s="142" t="str">
        <f aca="false">'FlowCal Raw'!C65</f>
        <v>3.00.12</v>
      </c>
      <c r="B65" s="142" t="str">
        <f aca="false">'FlowCal Raw'!D65</f>
        <v>Nailed It B BuyBack</v>
      </c>
      <c r="C65" s="142" t="n">
        <f aca="false">'FlowCal Raw'!E65</f>
        <v>262167.15</v>
      </c>
      <c r="D65" s="142" t="n">
        <f aca="false">'FlowCal Raw'!F65</f>
        <v>326398.1</v>
      </c>
      <c r="E65" s="81" t="n">
        <f aca="false">'FlowCal Raw'!I65</f>
        <v>1101.1949949563</v>
      </c>
      <c r="F65" s="81" t="n">
        <f aca="false">'FlowCal Raw'!J65</f>
        <v>108.293005817355</v>
      </c>
      <c r="G65" s="154" t="n">
        <f aca="false">'FlowCal Raw'!DF65</f>
        <v>0.169</v>
      </c>
      <c r="H65" s="154" t="n">
        <f aca="false">'FlowCal Raw'!DG65</f>
        <v>1.369</v>
      </c>
      <c r="I65" s="154" t="n">
        <f aca="false">'FlowCal Raw'!DH65</f>
        <v>79.224</v>
      </c>
      <c r="J65" s="154" t="n">
        <f aca="false">'FlowCal Raw'!DI65</f>
        <v>10.904</v>
      </c>
      <c r="K65" s="154" t="n">
        <f aca="false">'FlowCal Raw'!DJ65</f>
        <v>4.714</v>
      </c>
      <c r="L65" s="154" t="n">
        <f aca="false">'FlowCal Raw'!DK65</f>
        <v>0.747</v>
      </c>
      <c r="M65" s="154" t="n">
        <f aca="false">'FlowCal Raw'!DL65</f>
        <v>1.59</v>
      </c>
      <c r="N65" s="154" t="n">
        <f aca="false">'FlowCal Raw'!DM65</f>
        <v>0.395</v>
      </c>
      <c r="O65" s="154" t="n">
        <f aca="false">'FlowCal Raw'!DN65</f>
        <v>0.426</v>
      </c>
      <c r="P65" s="154" t="n">
        <f aca="false">SUM('FlowCal Raw'!DO65:DT65)</f>
        <v>0.462</v>
      </c>
    </row>
    <row r="66" customFormat="false" ht="15.75" hidden="false" customHeight="true" outlineLevel="0" collapsed="false">
      <c r="A66" s="142" t="str">
        <f aca="false">'FlowCal Raw'!C66</f>
        <v>3.00.13</v>
      </c>
      <c r="B66" s="142" t="str">
        <f aca="false">'FlowCal Raw'!D66</f>
        <v>Wild Jenny BuyBack</v>
      </c>
      <c r="C66" s="142" t="n">
        <f aca="false">'FlowCal Raw'!E66</f>
        <v>0</v>
      </c>
      <c r="D66" s="142" t="n">
        <f aca="false">'FlowCal Raw'!F66</f>
        <v>0</v>
      </c>
      <c r="E66" s="81" t="n">
        <f aca="false">'FlowCal Raw'!I66</f>
        <v>13.2348702517889</v>
      </c>
      <c r="F66" s="81" t="n">
        <f aca="false">'FlowCal Raw'!J66</f>
        <v>81.0159608010323</v>
      </c>
      <c r="G66" s="154" t="n">
        <f aca="false">'FlowCal Raw'!DF66</f>
        <v>0.231</v>
      </c>
      <c r="H66" s="154" t="n">
        <f aca="false">'FlowCal Raw'!DG66</f>
        <v>0.898</v>
      </c>
      <c r="I66" s="154" t="n">
        <f aca="false">'FlowCal Raw'!DH66</f>
        <v>77.3209999999999</v>
      </c>
      <c r="J66" s="154" t="n">
        <f aca="false">'FlowCal Raw'!DI66</f>
        <v>9.41999999999999</v>
      </c>
      <c r="K66" s="154" t="n">
        <f aca="false">'FlowCal Raw'!DJ66</f>
        <v>6.01</v>
      </c>
      <c r="L66" s="154" t="n">
        <f aca="false">'FlowCal Raw'!DK66</f>
        <v>0.760999999999999</v>
      </c>
      <c r="M66" s="154" t="n">
        <f aca="false">'FlowCal Raw'!DL66</f>
        <v>2.32</v>
      </c>
      <c r="N66" s="154" t="n">
        <f aca="false">'FlowCal Raw'!DM66</f>
        <v>0.588000000000001</v>
      </c>
      <c r="O66" s="154" t="n">
        <f aca="false">'FlowCal Raw'!DN66</f>
        <v>0.705</v>
      </c>
      <c r="P66" s="154" t="n">
        <f aca="false">SUM('FlowCal Raw'!DO66:DT66)</f>
        <v>1.746</v>
      </c>
    </row>
    <row r="67" customFormat="false" ht="15.75" hidden="false" customHeight="true" outlineLevel="0" collapsed="false">
      <c r="A67" s="142" t="str">
        <f aca="false">'FlowCal Raw'!C67</f>
        <v>3.00.14</v>
      </c>
      <c r="B67" s="142" t="str">
        <f aca="false">'FlowCal Raw'!D67</f>
        <v>Cypress 33 B Buyback</v>
      </c>
      <c r="C67" s="142" t="n">
        <f aca="false">'FlowCal Raw'!E67</f>
        <v>0</v>
      </c>
      <c r="D67" s="142" t="n">
        <f aca="false">'FlowCal Raw'!F67</f>
        <v>0</v>
      </c>
      <c r="E67" s="81" t="n">
        <f aca="false">'FlowCal Raw'!I67</f>
        <v>11.5492414095068</v>
      </c>
      <c r="F67" s="81" t="n">
        <f aca="false">'FlowCal Raw'!J67</f>
        <v>79.5926992559946</v>
      </c>
      <c r="G67" s="154" t="n">
        <f aca="false">'FlowCal Raw'!DF67</f>
        <v>0.101</v>
      </c>
      <c r="H67" s="154" t="n">
        <f aca="false">'FlowCal Raw'!DG67</f>
        <v>0.827000000000001</v>
      </c>
      <c r="I67" s="154" t="n">
        <f aca="false">'FlowCal Raw'!DH67</f>
        <v>78.631</v>
      </c>
      <c r="J67" s="154" t="n">
        <f aca="false">'FlowCal Raw'!DI67</f>
        <v>11.052</v>
      </c>
      <c r="K67" s="154" t="n">
        <f aca="false">'FlowCal Raw'!DJ67</f>
        <v>4.952</v>
      </c>
      <c r="L67" s="154" t="n">
        <f aca="false">'FlowCal Raw'!DK67</f>
        <v>0.774000000000001</v>
      </c>
      <c r="M67" s="154" t="n">
        <f aca="false">'FlowCal Raw'!DL67</f>
        <v>1.717</v>
      </c>
      <c r="N67" s="154" t="n">
        <f aca="false">'FlowCal Raw'!DM67</f>
        <v>0.462</v>
      </c>
      <c r="O67" s="154" t="n">
        <f aca="false">'FlowCal Raw'!DN67</f>
        <v>0.514</v>
      </c>
      <c r="P67" s="154" t="n">
        <f aca="false">SUM('FlowCal Raw'!DO67:DT67)</f>
        <v>0.969999999999999</v>
      </c>
    </row>
    <row r="68" customFormat="false" ht="15.75" hidden="false" customHeight="true" outlineLevel="0" collapsed="false">
      <c r="A68" s="142" t="str">
        <f aca="false">'FlowCal Raw'!C68</f>
        <v>3.00.15</v>
      </c>
      <c r="B68" s="142" t="str">
        <f aca="false">'FlowCal Raw'!D68</f>
        <v>Jeff East BuyBack</v>
      </c>
      <c r="C68" s="142" t="n">
        <f aca="false">'FlowCal Raw'!E68</f>
        <v>0</v>
      </c>
      <c r="D68" s="142" t="n">
        <f aca="false">'FlowCal Raw'!F68</f>
        <v>0</v>
      </c>
      <c r="E68" s="81" t="n">
        <f aca="false">'FlowCal Raw'!I68</f>
        <v>14.4005097804531</v>
      </c>
      <c r="F68" s="81" t="n">
        <f aca="false">'FlowCal Raw'!J68</f>
        <v>81.8343262210969</v>
      </c>
      <c r="G68" s="154" t="n">
        <f aca="false">'FlowCal Raw'!DF68</f>
        <v>0.452</v>
      </c>
      <c r="H68" s="154" t="n">
        <f aca="false">'FlowCal Raw'!DG68</f>
        <v>1.557</v>
      </c>
      <c r="I68" s="154" t="n">
        <f aca="false">'FlowCal Raw'!DH68</f>
        <v>68.605</v>
      </c>
      <c r="J68" s="154" t="n">
        <f aca="false">'FlowCal Raw'!DI68</f>
        <v>13.605</v>
      </c>
      <c r="K68" s="154" t="n">
        <f aca="false">'FlowCal Raw'!DJ68</f>
        <v>9.303</v>
      </c>
      <c r="L68" s="154" t="n">
        <f aca="false">'FlowCal Raw'!DK68</f>
        <v>1.09</v>
      </c>
      <c r="M68" s="154" t="n">
        <f aca="false">'FlowCal Raw'!DL68</f>
        <v>3.269</v>
      </c>
      <c r="N68" s="154" t="n">
        <f aca="false">'FlowCal Raw'!DM68</f>
        <v>0.677</v>
      </c>
      <c r="O68" s="154" t="n">
        <f aca="false">'FlowCal Raw'!DN68</f>
        <v>0.726</v>
      </c>
      <c r="P68" s="154" t="n">
        <f aca="false">SUM('FlowCal Raw'!DO68:DT68)</f>
        <v>0.716</v>
      </c>
    </row>
    <row r="69" customFormat="false" ht="15.75" hidden="false" customHeight="true" outlineLevel="0" collapsed="false">
      <c r="A69" s="142" t="str">
        <f aca="false">'FlowCal Raw'!C69</f>
        <v>3.00.16</v>
      </c>
      <c r="B69" s="142" t="str">
        <f aca="false">'FlowCal Raw'!D69</f>
        <v>Flat Head BuyBack</v>
      </c>
      <c r="C69" s="142" t="n">
        <f aca="false">'FlowCal Raw'!E69</f>
        <v>0</v>
      </c>
      <c r="D69" s="142" t="n">
        <f aca="false">'FlowCal Raw'!F69</f>
        <v>0</v>
      </c>
      <c r="E69" s="81" t="n">
        <f aca="false">'FlowCal Raw'!I69</f>
        <v>61.3921958246539</v>
      </c>
      <c r="F69" s="81" t="n">
        <f aca="false">'FlowCal Raw'!J69</f>
        <v>82.8297098426409</v>
      </c>
      <c r="G69" s="154" t="n">
        <f aca="false">'FlowCal Raw'!DF69</f>
        <v>0.386</v>
      </c>
      <c r="H69" s="154" t="n">
        <f aca="false">'FlowCal Raw'!DG69</f>
        <v>1.243</v>
      </c>
      <c r="I69" s="154" t="n">
        <f aca="false">'FlowCal Raw'!DH69</f>
        <v>66.9960000000001</v>
      </c>
      <c r="J69" s="154" t="n">
        <f aca="false">'FlowCal Raw'!DI69</f>
        <v>12.796</v>
      </c>
      <c r="K69" s="154" t="n">
        <f aca="false">'FlowCal Raw'!DJ69</f>
        <v>9.02100000000001</v>
      </c>
      <c r="L69" s="154" t="n">
        <f aca="false">'FlowCal Raw'!DK69</f>
        <v>1.124</v>
      </c>
      <c r="M69" s="154" t="n">
        <f aca="false">'FlowCal Raw'!DL69</f>
        <v>3.668</v>
      </c>
      <c r="N69" s="154" t="n">
        <f aca="false">'FlowCal Raw'!DM69</f>
        <v>0.902</v>
      </c>
      <c r="O69" s="154" t="n">
        <f aca="false">'FlowCal Raw'!DN69</f>
        <v>1.16</v>
      </c>
      <c r="P69" s="154" t="n">
        <f aca="false">SUM('FlowCal Raw'!DO69:DT69)</f>
        <v>2.704</v>
      </c>
    </row>
    <row r="70" customFormat="false" ht="15.75" hidden="false" customHeight="true" outlineLevel="0" collapsed="false">
      <c r="A70" s="142" t="str">
        <f aca="false">'FlowCal Raw'!C70</f>
        <v>3.00.17</v>
      </c>
      <c r="B70" s="142" t="str">
        <f aca="false">'FlowCal Raw'!D70</f>
        <v>Gillette BuyBack</v>
      </c>
      <c r="C70" s="142" t="n">
        <f aca="false">'FlowCal Raw'!E70</f>
        <v>0</v>
      </c>
      <c r="D70" s="142" t="n">
        <f aca="false">'FlowCal Raw'!F70</f>
        <v>0</v>
      </c>
      <c r="E70" s="81" t="n">
        <f aca="false">'FlowCal Raw'!I70</f>
        <v>60.5694615866548</v>
      </c>
      <c r="F70" s="81" t="n">
        <f aca="false">'FlowCal Raw'!J70</f>
        <v>81.4774936091515</v>
      </c>
      <c r="G70" s="154" t="n">
        <f aca="false">'FlowCal Raw'!DF70</f>
        <v>0.67</v>
      </c>
      <c r="H70" s="154" t="n">
        <f aca="false">'FlowCal Raw'!DG70</f>
        <v>1.207</v>
      </c>
      <c r="I70" s="154" t="n">
        <f aca="false">'FlowCal Raw'!DH70</f>
        <v>69.703</v>
      </c>
      <c r="J70" s="154" t="n">
        <f aca="false">'FlowCal Raw'!DI70</f>
        <v>13.688</v>
      </c>
      <c r="K70" s="154" t="n">
        <f aca="false">'FlowCal Raw'!DJ70</f>
        <v>8.957</v>
      </c>
      <c r="L70" s="154" t="n">
        <f aca="false">'FlowCal Raw'!DK70</f>
        <v>0.956</v>
      </c>
      <c r="M70" s="154" t="n">
        <f aca="false">'FlowCal Raw'!DL70</f>
        <v>2.885</v>
      </c>
      <c r="N70" s="154" t="n">
        <f aca="false">'FlowCal Raw'!DM70</f>
        <v>0.548</v>
      </c>
      <c r="O70" s="154" t="n">
        <f aca="false">'FlowCal Raw'!DN70</f>
        <v>0.611000000000001</v>
      </c>
      <c r="P70" s="154" t="n">
        <f aca="false">SUM('FlowCal Raw'!DO70:DT70)</f>
        <v>0.775</v>
      </c>
    </row>
    <row r="71" customFormat="false" ht="15.75" hidden="false" customHeight="true" outlineLevel="0" collapsed="false">
      <c r="A71" s="142" t="str">
        <f aca="false">'FlowCal Raw'!C71</f>
        <v>3.00.19</v>
      </c>
      <c r="B71" s="142" t="str">
        <f aca="false">'FlowCal Raw'!D71</f>
        <v>Yellowtail BuyBack</v>
      </c>
      <c r="C71" s="142" t="n">
        <f aca="false">'FlowCal Raw'!E71</f>
        <v>0</v>
      </c>
      <c r="D71" s="142" t="n">
        <f aca="false">'FlowCal Raw'!F71</f>
        <v>0</v>
      </c>
      <c r="E71" s="81" t="n">
        <f aca="false">'FlowCal Raw'!I71</f>
        <v>11.6057567596436</v>
      </c>
      <c r="F71" s="81" t="n">
        <f aca="false">'FlowCal Raw'!J71</f>
        <v>59.098503112793</v>
      </c>
      <c r="G71" s="154" t="n">
        <f aca="false">'FlowCal Raw'!DF71</f>
        <v>0.674</v>
      </c>
      <c r="H71" s="154" t="n">
        <f aca="false">'FlowCal Raw'!DG71</f>
        <v>1.324</v>
      </c>
      <c r="I71" s="154" t="n">
        <f aca="false">'FlowCal Raw'!DH71</f>
        <v>67.68</v>
      </c>
      <c r="J71" s="154" t="n">
        <f aca="false">'FlowCal Raw'!DI71</f>
        <v>13.238</v>
      </c>
      <c r="K71" s="154" t="n">
        <f aca="false">'FlowCal Raw'!DJ71</f>
        <v>8.748</v>
      </c>
      <c r="L71" s="154" t="n">
        <f aca="false">'FlowCal Raw'!DK71</f>
        <v>1.033</v>
      </c>
      <c r="M71" s="154" t="n">
        <f aca="false">'FlowCal Raw'!DL71</f>
        <v>3.276</v>
      </c>
      <c r="N71" s="154" t="n">
        <f aca="false">'FlowCal Raw'!DM71</f>
        <v>0.778</v>
      </c>
      <c r="O71" s="154" t="n">
        <f aca="false">'FlowCal Raw'!DN71</f>
        <v>0.912</v>
      </c>
      <c r="P71" s="154" t="n">
        <f aca="false">SUM('FlowCal Raw'!DO71:DT71)</f>
        <v>2.337</v>
      </c>
    </row>
    <row r="72" customFormat="false" ht="15.75" hidden="false" customHeight="true" outlineLevel="0" collapsed="false">
      <c r="A72" s="142" t="str">
        <f aca="false">'FlowCal Raw'!C72</f>
        <v>3.00.2</v>
      </c>
      <c r="B72" s="142" t="str">
        <f aca="false">'FlowCal Raw'!D72</f>
        <v>Welcome To Golden BuyBack</v>
      </c>
      <c r="C72" s="142" t="n">
        <f aca="false">'FlowCal Raw'!E72</f>
        <v>243134.31</v>
      </c>
      <c r="D72" s="142" t="n">
        <f aca="false">'FlowCal Raw'!F72</f>
        <v>312670.72</v>
      </c>
      <c r="E72" s="81" t="n">
        <f aca="false">'FlowCal Raw'!I72</f>
        <v>1075.57606030288</v>
      </c>
      <c r="F72" s="81" t="n">
        <f aca="false">'FlowCal Raw'!J72</f>
        <v>110.824979790224</v>
      </c>
      <c r="G72" s="154" t="n">
        <f aca="false">'FlowCal Raw'!DF72</f>
        <v>0.135</v>
      </c>
      <c r="H72" s="154" t="n">
        <f aca="false">'FlowCal Raw'!DG72</f>
        <v>0.866</v>
      </c>
      <c r="I72" s="154" t="n">
        <f aca="false">'FlowCal Raw'!DH72</f>
        <v>78.175</v>
      </c>
      <c r="J72" s="154" t="n">
        <f aca="false">'FlowCal Raw'!DI72</f>
        <v>11.344</v>
      </c>
      <c r="K72" s="154" t="n">
        <f aca="false">'FlowCal Raw'!DJ72</f>
        <v>5.072</v>
      </c>
      <c r="L72" s="154" t="n">
        <f aca="false">'FlowCal Raw'!DK72</f>
        <v>0.771</v>
      </c>
      <c r="M72" s="154" t="n">
        <f aca="false">'FlowCal Raw'!DL72</f>
        <v>1.767</v>
      </c>
      <c r="N72" s="154" t="n">
        <f aca="false">'FlowCal Raw'!DM72</f>
        <v>0.506</v>
      </c>
      <c r="O72" s="154" t="n">
        <f aca="false">'FlowCal Raw'!DN72</f>
        <v>0.536</v>
      </c>
      <c r="P72" s="154" t="n">
        <f aca="false">SUM('FlowCal Raw'!DO72:DT72)</f>
        <v>0.828</v>
      </c>
    </row>
    <row r="73" customFormat="false" ht="15.75" hidden="false" customHeight="true" outlineLevel="0" collapsed="false">
      <c r="A73" s="142" t="str">
        <f aca="false">'FlowCal Raw'!C73</f>
        <v>3.00.21</v>
      </c>
      <c r="B73" s="142" t="str">
        <f aca="false">'FlowCal Raw'!D73</f>
        <v>Rick Vaughn BuyBack</v>
      </c>
      <c r="C73" s="142" t="n">
        <f aca="false">'FlowCal Raw'!E73</f>
        <v>0</v>
      </c>
      <c r="D73" s="142" t="n">
        <f aca="false">'FlowCal Raw'!F73</f>
        <v>0</v>
      </c>
      <c r="E73" s="81" t="n">
        <f aca="false">'FlowCal Raw'!I73</f>
        <v>20.1335247870414</v>
      </c>
      <c r="F73" s="81" t="n">
        <f aca="false">'FlowCal Raw'!J73</f>
        <v>76.4532368054954</v>
      </c>
      <c r="G73" s="154" t="n">
        <f aca="false">'FlowCal Raw'!DF73</f>
        <v>0.0920000000000001</v>
      </c>
      <c r="H73" s="154" t="n">
        <f aca="false">'FlowCal Raw'!DG73</f>
        <v>0.82</v>
      </c>
      <c r="I73" s="154" t="n">
        <f aca="false">'FlowCal Raw'!DH73</f>
        <v>73.125</v>
      </c>
      <c r="J73" s="154" t="n">
        <f aca="false">'FlowCal Raw'!DI73</f>
        <v>12.76</v>
      </c>
      <c r="K73" s="154" t="n">
        <f aca="false">'FlowCal Raw'!DJ73</f>
        <v>6.744</v>
      </c>
      <c r="L73" s="154" t="n">
        <f aca="false">'FlowCal Raw'!DK73</f>
        <v>0.988</v>
      </c>
      <c r="M73" s="154" t="n">
        <f aca="false">'FlowCal Raw'!DL73</f>
        <v>2.458</v>
      </c>
      <c r="N73" s="154" t="n">
        <f aca="false">'FlowCal Raw'!DM73</f>
        <v>0.618</v>
      </c>
      <c r="O73" s="154" t="n">
        <f aca="false">'FlowCal Raw'!DN73</f>
        <v>0.765999999999999</v>
      </c>
      <c r="P73" s="154" t="n">
        <f aca="false">SUM('FlowCal Raw'!DO73:DT73)</f>
        <v>1.629</v>
      </c>
    </row>
    <row r="74" customFormat="false" ht="15.75" hidden="false" customHeight="true" outlineLevel="0" collapsed="false">
      <c r="A74" s="142" t="str">
        <f aca="false">'FlowCal Raw'!C74</f>
        <v>3.00.4</v>
      </c>
      <c r="B74" s="142" t="str">
        <f aca="false">'FlowCal Raw'!D74</f>
        <v>Johnny Cash 2 BuyBack</v>
      </c>
      <c r="C74" s="142" t="n">
        <f aca="false">'FlowCal Raw'!E74</f>
        <v>4616.41</v>
      </c>
      <c r="D74" s="142" t="n">
        <f aca="false">'FlowCal Raw'!F74</f>
        <v>5756.66</v>
      </c>
      <c r="E74" s="81" t="n">
        <f aca="false">'FlowCal Raw'!I74</f>
        <v>107.403672019808</v>
      </c>
      <c r="F74" s="81" t="n">
        <f aca="false">'FlowCal Raw'!J74</f>
        <v>79.5283526004848</v>
      </c>
      <c r="G74" s="154" t="n">
        <f aca="false">'FlowCal Raw'!DF74</f>
        <v>0.125</v>
      </c>
      <c r="H74" s="154" t="n">
        <f aca="false">'FlowCal Raw'!DG74</f>
        <v>0.582</v>
      </c>
      <c r="I74" s="154" t="n">
        <f aca="false">'FlowCal Raw'!DH74</f>
        <v>81.076</v>
      </c>
      <c r="J74" s="154" t="n">
        <f aca="false">'FlowCal Raw'!DI74</f>
        <v>10.555</v>
      </c>
      <c r="K74" s="154" t="n">
        <f aca="false">'FlowCal Raw'!DJ74</f>
        <v>4.037</v>
      </c>
      <c r="L74" s="154" t="n">
        <f aca="false">'FlowCal Raw'!DK74</f>
        <v>0.705</v>
      </c>
      <c r="M74" s="154" t="n">
        <f aca="false">'FlowCal Raw'!DL74</f>
        <v>1.318</v>
      </c>
      <c r="N74" s="154" t="n">
        <f aca="false">'FlowCal Raw'!DM74</f>
        <v>0.372</v>
      </c>
      <c r="O74" s="154" t="n">
        <f aca="false">'FlowCal Raw'!DN74</f>
        <v>0.396</v>
      </c>
      <c r="P74" s="154" t="n">
        <f aca="false">SUM('FlowCal Raw'!DO74:DT74)</f>
        <v>0.834</v>
      </c>
    </row>
    <row r="75" customFormat="false" ht="15.75" hidden="false" customHeight="true" outlineLevel="0" collapsed="false">
      <c r="A75" s="142" t="str">
        <f aca="false">'FlowCal Raw'!C75</f>
        <v>3.00.5</v>
      </c>
      <c r="B75" s="142" t="str">
        <f aca="false">'FlowCal Raw'!D75</f>
        <v>Pliny The Elder BuyBack</v>
      </c>
      <c r="C75" s="142" t="n">
        <f aca="false">'FlowCal Raw'!E75</f>
        <v>76284.56</v>
      </c>
      <c r="D75" s="142" t="n">
        <f aca="false">'FlowCal Raw'!F75</f>
        <v>98178.22</v>
      </c>
      <c r="E75" s="81" t="n">
        <f aca="false">'FlowCal Raw'!I75</f>
        <v>1026.17314438234</v>
      </c>
      <c r="F75" s="81" t="n">
        <f aca="false">'FlowCal Raw'!J75</f>
        <v>103.727107458477</v>
      </c>
      <c r="G75" s="154" t="n">
        <f aca="false">'FlowCal Raw'!DF75</f>
        <v>0.112</v>
      </c>
      <c r="H75" s="154" t="n">
        <f aca="false">'FlowCal Raw'!DG75</f>
        <v>0.9</v>
      </c>
      <c r="I75" s="154" t="n">
        <f aca="false">'FlowCal Raw'!DH75</f>
        <v>77.819</v>
      </c>
      <c r="J75" s="154" t="n">
        <f aca="false">'FlowCal Raw'!DI75</f>
        <v>11.063</v>
      </c>
      <c r="K75" s="154" t="n">
        <f aca="false">'FlowCal Raw'!DJ75</f>
        <v>5.419</v>
      </c>
      <c r="L75" s="154" t="n">
        <f aca="false">'FlowCal Raw'!DK75</f>
        <v>0.984</v>
      </c>
      <c r="M75" s="154" t="n">
        <f aca="false">'FlowCal Raw'!DL75</f>
        <v>2.135</v>
      </c>
      <c r="N75" s="154" t="n">
        <f aca="false">'FlowCal Raw'!DM75</f>
        <v>0.61</v>
      </c>
      <c r="O75" s="154" t="n">
        <f aca="false">'FlowCal Raw'!DN75</f>
        <v>0.603</v>
      </c>
      <c r="P75" s="154" t="n">
        <f aca="false">SUM('FlowCal Raw'!DO75:DT75)</f>
        <v>0.355</v>
      </c>
    </row>
    <row r="76" customFormat="false" ht="15.75" hidden="false" customHeight="true" outlineLevel="0" collapsed="false">
      <c r="A76" s="142" t="str">
        <f aca="false">'FlowCal Raw'!C76</f>
        <v>3.00.6</v>
      </c>
      <c r="B76" s="142" t="str">
        <f aca="false">'FlowCal Raw'!D76</f>
        <v>Nailed It A BuyBack</v>
      </c>
      <c r="C76" s="142" t="n">
        <f aca="false">'FlowCal Raw'!E76</f>
        <v>198846.02</v>
      </c>
      <c r="D76" s="142" t="n">
        <f aca="false">'FlowCal Raw'!F76</f>
        <v>247563.3</v>
      </c>
      <c r="E76" s="81" t="n">
        <f aca="false">'FlowCal Raw'!I76</f>
        <v>1110.18818315356</v>
      </c>
      <c r="F76" s="81" t="n">
        <f aca="false">'FlowCal Raw'!J76</f>
        <v>111.17010165077</v>
      </c>
      <c r="G76" s="154" t="n">
        <f aca="false">'FlowCal Raw'!DF76</f>
        <v>0.169</v>
      </c>
      <c r="H76" s="154" t="n">
        <f aca="false">'FlowCal Raw'!DG76</f>
        <v>1.369</v>
      </c>
      <c r="I76" s="154" t="n">
        <f aca="false">'FlowCal Raw'!DH76</f>
        <v>79.224</v>
      </c>
      <c r="J76" s="154" t="n">
        <f aca="false">'FlowCal Raw'!DI76</f>
        <v>10.904</v>
      </c>
      <c r="K76" s="154" t="n">
        <f aca="false">'FlowCal Raw'!DJ76</f>
        <v>4.714</v>
      </c>
      <c r="L76" s="154" t="n">
        <f aca="false">'FlowCal Raw'!DK76</f>
        <v>0.747</v>
      </c>
      <c r="M76" s="154" t="n">
        <f aca="false">'FlowCal Raw'!DL76</f>
        <v>1.59</v>
      </c>
      <c r="N76" s="154" t="n">
        <f aca="false">'FlowCal Raw'!DM76</f>
        <v>0.395</v>
      </c>
      <c r="O76" s="154" t="n">
        <f aca="false">'FlowCal Raw'!DN76</f>
        <v>0.426</v>
      </c>
      <c r="P76" s="154" t="n">
        <f aca="false">SUM('FlowCal Raw'!DO76:DT76)</f>
        <v>0.462</v>
      </c>
    </row>
    <row r="77" customFormat="false" ht="15.75" hidden="false" customHeight="true" outlineLevel="0" collapsed="false">
      <c r="A77" s="142" t="str">
        <f aca="false">'FlowCal Raw'!C77</f>
        <v>3.00.7</v>
      </c>
      <c r="B77" s="142" t="str">
        <f aca="false">'FlowCal Raw'!D77</f>
        <v>Money Graham BuyBack</v>
      </c>
      <c r="C77" s="142" t="n">
        <f aca="false">'FlowCal Raw'!E77</f>
        <v>172222.81</v>
      </c>
      <c r="D77" s="142" t="n">
        <f aca="false">'FlowCal Raw'!F77</f>
        <v>221478.54</v>
      </c>
      <c r="E77" s="81" t="n">
        <f aca="false">'FlowCal Raw'!I77</f>
        <v>1036.64300244119</v>
      </c>
      <c r="F77" s="81" t="n">
        <f aca="false">'FlowCal Raw'!J77</f>
        <v>89.8957587517859</v>
      </c>
      <c r="G77" s="154" t="n">
        <f aca="false">'FlowCal Raw'!DF77</f>
        <v>0.165</v>
      </c>
      <c r="H77" s="154" t="n">
        <f aca="false">'FlowCal Raw'!DG77</f>
        <v>0.914</v>
      </c>
      <c r="I77" s="154" t="n">
        <f aca="false">'FlowCal Raw'!DH77</f>
        <v>77.476</v>
      </c>
      <c r="J77" s="154" t="n">
        <f aca="false">'FlowCal Raw'!DI77</f>
        <v>11.587</v>
      </c>
      <c r="K77" s="154" t="n">
        <f aca="false">'FlowCal Raw'!DJ77</f>
        <v>5.416</v>
      </c>
      <c r="L77" s="154" t="n">
        <f aca="false">'FlowCal Raw'!DK77</f>
        <v>0.908</v>
      </c>
      <c r="M77" s="154" t="n">
        <f aca="false">'FlowCal Raw'!DL77</f>
        <v>2.013</v>
      </c>
      <c r="N77" s="154" t="n">
        <f aca="false">'FlowCal Raw'!DM77</f>
        <v>0.514</v>
      </c>
      <c r="O77" s="154" t="n">
        <f aca="false">'FlowCal Raw'!DN77</f>
        <v>0.569</v>
      </c>
      <c r="P77" s="154" t="n">
        <f aca="false">SUM('FlowCal Raw'!DO77:DT77)</f>
        <v>0.438</v>
      </c>
    </row>
    <row r="78" customFormat="false" ht="15.75" hidden="false" customHeight="true" outlineLevel="0" collapsed="false">
      <c r="A78" s="142" t="str">
        <f aca="false">'FlowCal Raw'!C78</f>
        <v>3.00.8</v>
      </c>
      <c r="B78" s="142" t="str">
        <f aca="false">'FlowCal Raw'!D78</f>
        <v>Cypress BuyBack</v>
      </c>
      <c r="C78" s="142" t="n">
        <f aca="false">'FlowCal Raw'!E78</f>
        <v>152794.15</v>
      </c>
      <c r="D78" s="142" t="n">
        <f aca="false">'FlowCal Raw'!F78</f>
        <v>197868.43</v>
      </c>
      <c r="E78" s="81" t="n">
        <f aca="false">'FlowCal Raw'!I78</f>
        <v>1115.52557812614</v>
      </c>
      <c r="F78" s="81" t="n">
        <f aca="false">'FlowCal Raw'!J78</f>
        <v>100.347614182127</v>
      </c>
      <c r="G78" s="154" t="n">
        <f aca="false">'FlowCal Raw'!DF78</f>
        <v>0.176</v>
      </c>
      <c r="H78" s="154" t="n">
        <f aca="false">'FlowCal Raw'!DG78</f>
        <v>1.239</v>
      </c>
      <c r="I78" s="154" t="n">
        <f aca="false">'FlowCal Raw'!DH78</f>
        <v>77.009</v>
      </c>
      <c r="J78" s="154" t="n">
        <f aca="false">'FlowCal Raw'!DI78</f>
        <v>11.315</v>
      </c>
      <c r="K78" s="154" t="n">
        <f aca="false">'FlowCal Raw'!DJ78</f>
        <v>5.509</v>
      </c>
      <c r="L78" s="154" t="n">
        <f aca="false">'FlowCal Raw'!DK78</f>
        <v>0.852</v>
      </c>
      <c r="M78" s="154" t="n">
        <f aca="false">'FlowCal Raw'!DL78</f>
        <v>1.99</v>
      </c>
      <c r="N78" s="154" t="n">
        <f aca="false">'FlowCal Raw'!DM78</f>
        <v>0.53</v>
      </c>
      <c r="O78" s="154" t="n">
        <f aca="false">'FlowCal Raw'!DN78</f>
        <v>0.602</v>
      </c>
      <c r="P78" s="154" t="n">
        <f aca="false">SUM('FlowCal Raw'!DO78:DT78)</f>
        <v>0.778</v>
      </c>
    </row>
    <row r="79" customFormat="false" ht="15.75" hidden="false" customHeight="true" outlineLevel="0" collapsed="false">
      <c r="A79" s="142" t="str">
        <f aca="false">'FlowCal Raw'!C79</f>
        <v>3.00.9</v>
      </c>
      <c r="B79" s="142" t="str">
        <f aca="false">'FlowCal Raw'!D79</f>
        <v>Parker BuyBack</v>
      </c>
      <c r="C79" s="142" t="n">
        <f aca="false">'FlowCal Raw'!E79</f>
        <v>0</v>
      </c>
      <c r="D79" s="142" t="n">
        <f aca="false">'FlowCal Raw'!F79</f>
        <v>0</v>
      </c>
      <c r="E79" s="81" t="n">
        <f aca="false">'FlowCal Raw'!I79</f>
        <v>1064.66138802805</v>
      </c>
      <c r="F79" s="81" t="n">
        <f aca="false">'FlowCal Raw'!J79</f>
        <v>81.4762345283262</v>
      </c>
      <c r="G79" s="154" t="n">
        <f aca="false">'FlowCal Raw'!DF79</f>
        <v>0.714</v>
      </c>
      <c r="H79" s="154" t="n">
        <f aca="false">'FlowCal Raw'!DG79</f>
        <v>1.323</v>
      </c>
      <c r="I79" s="154" t="n">
        <f aca="false">'FlowCal Raw'!DH79</f>
        <v>71.66</v>
      </c>
      <c r="J79" s="154" t="n">
        <f aca="false">'FlowCal Raw'!DI79</f>
        <v>12.662</v>
      </c>
      <c r="K79" s="154" t="n">
        <f aca="false">'FlowCal Raw'!DJ79</f>
        <v>8.25299999999999</v>
      </c>
      <c r="L79" s="154" t="n">
        <f aca="false">'FlowCal Raw'!DK79</f>
        <v>0.986000000000001</v>
      </c>
      <c r="M79" s="154" t="n">
        <f aca="false">'FlowCal Raw'!DL79</f>
        <v>2.889</v>
      </c>
      <c r="N79" s="154" t="n">
        <f aca="false">'FlowCal Raw'!DM79</f>
        <v>0.538</v>
      </c>
      <c r="O79" s="154" t="n">
        <f aca="false">'FlowCal Raw'!DN79</f>
        <v>0.574</v>
      </c>
      <c r="P79" s="154" t="n">
        <f aca="false">SUM('FlowCal Raw'!DO79:DT79)</f>
        <v>0.401</v>
      </c>
    </row>
    <row r="80" customFormat="false" ht="15.75" hidden="false" customHeight="true" outlineLevel="0" collapsed="false">
      <c r="A80" s="142" t="str">
        <f aca="false">'FlowCal Raw'!C80</f>
        <v>4.01.1</v>
      </c>
      <c r="B80" s="142" t="str">
        <f aca="false">'FlowCal Raw'!D80</f>
        <v>Atlantic Master BuyBack</v>
      </c>
      <c r="C80" s="142" t="n">
        <f aca="false">'FlowCal Raw'!E80</f>
        <v>19998.06</v>
      </c>
      <c r="D80" s="142" t="n">
        <f aca="false">'FlowCal Raw'!F80</f>
        <v>24537.62</v>
      </c>
      <c r="E80" s="81" t="n">
        <f aca="false">'FlowCal Raw'!I80</f>
        <v>122.975097667388</v>
      </c>
      <c r="F80" s="81" t="n">
        <f aca="false">'FlowCal Raw'!J80</f>
        <v>52.2823209655079</v>
      </c>
      <c r="G80" s="154" t="n">
        <f aca="false">'FlowCal Raw'!DF80</f>
        <v>0.052</v>
      </c>
      <c r="H80" s="154" t="n">
        <f aca="false">'FlowCal Raw'!DG80</f>
        <v>0.586</v>
      </c>
      <c r="I80" s="154" t="n">
        <f aca="false">'FlowCal Raw'!DH80</f>
        <v>80.843</v>
      </c>
      <c r="J80" s="154" t="n">
        <f aca="false">'FlowCal Raw'!DI80</f>
        <v>11.222</v>
      </c>
      <c r="K80" s="154" t="n">
        <f aca="false">'FlowCal Raw'!DJ80</f>
        <v>4.513</v>
      </c>
      <c r="L80" s="154" t="n">
        <f aca="false">'FlowCal Raw'!DK80</f>
        <v>0.709</v>
      </c>
      <c r="M80" s="154" t="n">
        <f aca="false">'FlowCal Raw'!DL80</f>
        <v>1.339</v>
      </c>
      <c r="N80" s="154" t="n">
        <f aca="false">'FlowCal Raw'!DM80</f>
        <v>0.285</v>
      </c>
      <c r="O80" s="154" t="n">
        <f aca="false">'FlowCal Raw'!DN80</f>
        <v>0.286</v>
      </c>
      <c r="P80" s="154" t="n">
        <f aca="false">SUM('FlowCal Raw'!DO80:DT80)</f>
        <v>0.165</v>
      </c>
    </row>
    <row r="81" customFormat="false" ht="15.75" hidden="false" customHeight="true" outlineLevel="0" collapsed="false">
      <c r="A81" s="142" t="str">
        <f aca="false">'FlowCal Raw'!C81</f>
        <v>5.00.1</v>
      </c>
      <c r="B81" s="142" t="str">
        <f aca="false">'FlowCal Raw'!D81</f>
        <v>EPNG BuyBack Fuel</v>
      </c>
      <c r="C81" s="142" t="n">
        <f aca="false">'FlowCal Raw'!E81</f>
        <v>0</v>
      </c>
      <c r="D81" s="142" t="n">
        <f aca="false">'FlowCal Raw'!F81</f>
        <v>0</v>
      </c>
      <c r="E81" s="81" t="n">
        <f aca="false">'FlowCal Raw'!I81</f>
        <v>949.155968778877</v>
      </c>
      <c r="F81" s="81" t="n">
        <f aca="false">'FlowCal Raw'!J81</f>
        <v>76.2936269647332</v>
      </c>
      <c r="G81" s="154" t="n">
        <f aca="false">'FlowCal Raw'!DF81</f>
        <v>0</v>
      </c>
      <c r="H81" s="154" t="n">
        <f aca="false">'FlowCal Raw'!DG81</f>
        <v>1</v>
      </c>
      <c r="I81" s="154" t="n">
        <f aca="false">'FlowCal Raw'!DH81</f>
        <v>96</v>
      </c>
      <c r="J81" s="154" t="n">
        <f aca="false">'FlowCal Raw'!DI81</f>
        <v>3</v>
      </c>
      <c r="K81" s="154" t="n">
        <f aca="false">'FlowCal Raw'!DJ81</f>
        <v>0</v>
      </c>
      <c r="L81" s="154" t="n">
        <f aca="false">'FlowCal Raw'!DK81</f>
        <v>0</v>
      </c>
      <c r="M81" s="154" t="n">
        <f aca="false">'FlowCal Raw'!DL81</f>
        <v>0</v>
      </c>
      <c r="N81" s="154" t="n">
        <f aca="false">'FlowCal Raw'!DM81</f>
        <v>0</v>
      </c>
      <c r="O81" s="154" t="n">
        <f aca="false">'FlowCal Raw'!DN81</f>
        <v>0</v>
      </c>
      <c r="P81" s="154" t="n">
        <f aca="false">SUM('FlowCal Raw'!DO81:DT81)</f>
        <v>0</v>
      </c>
    </row>
    <row r="82" customFormat="false" ht="15.75" hidden="false" customHeight="true" outlineLevel="0" collapsed="false">
      <c r="A82" s="142" t="str">
        <f aca="false">'FlowCal Raw'!C82</f>
        <v>5.00.11</v>
      </c>
      <c r="B82" s="142" t="str">
        <f aca="false">'FlowCal Raw'!D82</f>
        <v>Pecos 2 LP Fuel</v>
      </c>
      <c r="C82" s="142" t="n">
        <f aca="false">'FlowCal Raw'!E82</f>
        <v>11319.04</v>
      </c>
      <c r="D82" s="142" t="n">
        <f aca="false">'FlowCal Raw'!F82</f>
        <v>11851.04</v>
      </c>
      <c r="E82" s="81" t="n">
        <f aca="false">'FlowCal Raw'!I82</f>
        <v>198.217424504064</v>
      </c>
      <c r="F82" s="81" t="n">
        <f aca="false">'FlowCal Raw'!J82</f>
        <v>78.4962704705735</v>
      </c>
      <c r="G82" s="154" t="n">
        <f aca="false">'FlowCal Raw'!DF82</f>
        <v>0.173</v>
      </c>
      <c r="H82" s="154" t="n">
        <f aca="false">'FlowCal Raw'!DG82</f>
        <v>1.672</v>
      </c>
      <c r="I82" s="154" t="n">
        <f aca="false">'FlowCal Raw'!DH82</f>
        <v>90.977</v>
      </c>
      <c r="J82" s="154" t="n">
        <f aca="false">'FlowCal Raw'!DI82</f>
        <v>6.867</v>
      </c>
      <c r="K82" s="154" t="n">
        <f aca="false">'FlowCal Raw'!DJ82</f>
        <v>0.311</v>
      </c>
      <c r="L82" s="154" t="n">
        <f aca="false">'FlowCal Raw'!DK82</f>
        <v>0</v>
      </c>
      <c r="M82" s="154" t="n">
        <f aca="false">'FlowCal Raw'!DL82</f>
        <v>0</v>
      </c>
      <c r="N82" s="154" t="n">
        <f aca="false">'FlowCal Raw'!DM82</f>
        <v>0</v>
      </c>
      <c r="O82" s="154" t="n">
        <f aca="false">'FlowCal Raw'!DN82</f>
        <v>0</v>
      </c>
      <c r="P82" s="154" t="n">
        <f aca="false">SUM('FlowCal Raw'!DO82:DT82)</f>
        <v>0</v>
      </c>
    </row>
    <row r="83" customFormat="false" ht="15.75" hidden="false" customHeight="true" outlineLevel="0" collapsed="false">
      <c r="A83" s="142" t="str">
        <f aca="false">'FlowCal Raw'!C83</f>
        <v>5.00.15</v>
      </c>
      <c r="B83" s="142" t="str">
        <f aca="false">'FlowCal Raw'!D83</f>
        <v>Pliny The Elder Compressor Fuel</v>
      </c>
      <c r="C83" s="142" t="n">
        <f aca="false">'FlowCal Raw'!E83</f>
        <v>8457.51</v>
      </c>
      <c r="D83" s="142" t="n">
        <f aca="false">'FlowCal Raw'!F83</f>
        <v>10757.95</v>
      </c>
      <c r="E83" s="81" t="n">
        <f aca="false">'FlowCal Raw'!I83</f>
        <v>1040.92171684071</v>
      </c>
      <c r="F83" s="81" t="n">
        <f aca="false">'FlowCal Raw'!J83</f>
        <v>107.223600216401</v>
      </c>
      <c r="G83" s="154" t="n">
        <f aca="false">'FlowCal Raw'!DF83</f>
        <v>0.098</v>
      </c>
      <c r="H83" s="154" t="n">
        <f aca="false">'FlowCal Raw'!DG83</f>
        <v>1.188</v>
      </c>
      <c r="I83" s="154" t="n">
        <f aca="false">'FlowCal Raw'!DH83</f>
        <v>78.317</v>
      </c>
      <c r="J83" s="154" t="n">
        <f aca="false">'FlowCal Raw'!DI83</f>
        <v>10.966</v>
      </c>
      <c r="K83" s="154" t="n">
        <f aca="false">'FlowCal Raw'!DJ83</f>
        <v>5.032</v>
      </c>
      <c r="L83" s="154" t="n">
        <f aca="false">'FlowCal Raw'!DK83</f>
        <v>0.888</v>
      </c>
      <c r="M83" s="154" t="n">
        <f aca="false">'FlowCal Raw'!DL83</f>
        <v>1.936</v>
      </c>
      <c r="N83" s="154" t="n">
        <f aca="false">'FlowCal Raw'!DM83</f>
        <v>0.561</v>
      </c>
      <c r="O83" s="154" t="n">
        <f aca="false">'FlowCal Raw'!DN83</f>
        <v>0.58</v>
      </c>
      <c r="P83" s="154" t="n">
        <f aca="false">SUM('FlowCal Raw'!DO83:DT83)</f>
        <v>0.434</v>
      </c>
    </row>
    <row r="84" customFormat="false" ht="15.75" hidden="false" customHeight="true" outlineLevel="0" collapsed="false">
      <c r="A84" s="142" t="str">
        <f aca="false">'FlowCal Raw'!C84</f>
        <v>5.00.18</v>
      </c>
      <c r="B84" s="142" t="str">
        <f aca="false">'FlowCal Raw'!D84</f>
        <v>Pecos 1 HP Fuel</v>
      </c>
      <c r="C84" s="142" t="n">
        <f aca="false">'FlowCal Raw'!E84</f>
        <v>216704.95</v>
      </c>
      <c r="D84" s="142" t="n">
        <f aca="false">'FlowCal Raw'!F84</f>
        <v>218005.18</v>
      </c>
      <c r="E84" s="81" t="n">
        <f aca="false">'FlowCal Raw'!I84</f>
        <v>202.212218830063</v>
      </c>
      <c r="F84" s="81" t="n">
        <f aca="false">'FlowCal Raw'!J84</f>
        <v>84.810464792761</v>
      </c>
      <c r="G84" s="154" t="n">
        <f aca="false">'FlowCal Raw'!DF84</f>
        <v>0</v>
      </c>
      <c r="H84" s="154" t="n">
        <f aca="false">'FlowCal Raw'!DG84</f>
        <v>1.262</v>
      </c>
      <c r="I84" s="154" t="n">
        <f aca="false">'FlowCal Raw'!DH84</f>
        <v>97.633</v>
      </c>
      <c r="J84" s="154" t="n">
        <f aca="false">'FlowCal Raw'!DI84</f>
        <v>0.961</v>
      </c>
      <c r="K84" s="154" t="n">
        <f aca="false">'FlowCal Raw'!DJ84</f>
        <v>0.122</v>
      </c>
      <c r="L84" s="154" t="n">
        <f aca="false">'FlowCal Raw'!DK84</f>
        <v>0.009</v>
      </c>
      <c r="M84" s="154" t="n">
        <f aca="false">'FlowCal Raw'!DL84</f>
        <v>0.013</v>
      </c>
      <c r="N84" s="154" t="n">
        <f aca="false">'FlowCal Raw'!DM84</f>
        <v>0</v>
      </c>
      <c r="O84" s="154" t="n">
        <f aca="false">'FlowCal Raw'!DN84</f>
        <v>0</v>
      </c>
      <c r="P84" s="154" t="n">
        <f aca="false">SUM('FlowCal Raw'!DO84:DT84)</f>
        <v>0</v>
      </c>
    </row>
    <row r="85" customFormat="false" ht="15.75" hidden="false" customHeight="true" outlineLevel="0" collapsed="false">
      <c r="A85" s="142" t="str">
        <f aca="false">'FlowCal Raw'!C85</f>
        <v>5.00.19</v>
      </c>
      <c r="B85" s="142" t="str">
        <f aca="false">'FlowCal Raw'!D85</f>
        <v>Pecos 2 HP Fuel</v>
      </c>
      <c r="C85" s="142" t="n">
        <f aca="false">'FlowCal Raw'!E85</f>
        <v>42390.88</v>
      </c>
      <c r="D85" s="142" t="n">
        <f aca="false">'FlowCal Raw'!F85</f>
        <v>44425.64</v>
      </c>
      <c r="E85" s="81" t="n">
        <f aca="false">'FlowCal Raw'!I85</f>
        <v>197.8148757552</v>
      </c>
      <c r="F85" s="81" t="n">
        <f aca="false">'FlowCal Raw'!J85</f>
        <v>77.9702156528944</v>
      </c>
      <c r="G85" s="154" t="n">
        <f aca="false">'FlowCal Raw'!DF85</f>
        <v>0.17</v>
      </c>
      <c r="H85" s="154" t="n">
        <f aca="false">'FlowCal Raw'!DG85</f>
        <v>1.625</v>
      </c>
      <c r="I85" s="154" t="n">
        <f aca="false">'FlowCal Raw'!DH85</f>
        <v>91.001</v>
      </c>
      <c r="J85" s="154" t="n">
        <f aca="false">'FlowCal Raw'!DI85</f>
        <v>6.877</v>
      </c>
      <c r="K85" s="154" t="n">
        <f aca="false">'FlowCal Raw'!DJ85</f>
        <v>0.327</v>
      </c>
      <c r="L85" s="154" t="n">
        <f aca="false">'FlowCal Raw'!DK85</f>
        <v>0</v>
      </c>
      <c r="M85" s="154" t="n">
        <f aca="false">'FlowCal Raw'!DL85</f>
        <v>0</v>
      </c>
      <c r="N85" s="154" t="n">
        <f aca="false">'FlowCal Raw'!DM85</f>
        <v>0</v>
      </c>
      <c r="O85" s="154" t="n">
        <f aca="false">'FlowCal Raw'!DN85</f>
        <v>0</v>
      </c>
      <c r="P85" s="154" t="n">
        <f aca="false">SUM('FlowCal Raw'!DO85:DT85)</f>
        <v>0</v>
      </c>
    </row>
    <row r="86" customFormat="false" ht="15.75" hidden="false" customHeight="true" outlineLevel="0" collapsed="false">
      <c r="A86" s="142" t="str">
        <f aca="false">'FlowCal Raw'!C86</f>
        <v>5.00.2</v>
      </c>
      <c r="B86" s="142" t="str">
        <f aca="false">'FlowCal Raw'!D86</f>
        <v>Lowe Compressor Fuel</v>
      </c>
      <c r="C86" s="142" t="n">
        <f aca="false">'FlowCal Raw'!E86</f>
        <v>28805.14</v>
      </c>
      <c r="D86" s="142" t="n">
        <f aca="false">'FlowCal Raw'!F86</f>
        <v>36006.43</v>
      </c>
      <c r="E86" s="81" t="n">
        <f aca="false">'FlowCal Raw'!I86</f>
        <v>381.703252411703</v>
      </c>
      <c r="F86" s="81" t="n">
        <f aca="false">'FlowCal Raw'!J86</f>
        <v>79.9733044954915</v>
      </c>
      <c r="G86" s="154" t="n">
        <f aca="false">'FlowCal Raw'!DF86</f>
        <v>0.125</v>
      </c>
      <c r="H86" s="154" t="n">
        <f aca="false">'FlowCal Raw'!DG86</f>
        <v>0.594</v>
      </c>
      <c r="I86" s="154" t="n">
        <f aca="false">'FlowCal Raw'!DH86</f>
        <v>80.708</v>
      </c>
      <c r="J86" s="154" t="n">
        <f aca="false">'FlowCal Raw'!DI86</f>
        <v>10.699</v>
      </c>
      <c r="K86" s="154" t="n">
        <f aca="false">'FlowCal Raw'!DJ86</f>
        <v>4.223</v>
      </c>
      <c r="L86" s="154" t="n">
        <f aca="false">'FlowCal Raw'!DK86</f>
        <v>0.728</v>
      </c>
      <c r="M86" s="154" t="n">
        <f aca="false">'FlowCal Raw'!DL86</f>
        <v>1.381</v>
      </c>
      <c r="N86" s="154" t="n">
        <f aca="false">'FlowCal Raw'!DM86</f>
        <v>0.387</v>
      </c>
      <c r="O86" s="154" t="n">
        <f aca="false">'FlowCal Raw'!DN86</f>
        <v>0.416</v>
      </c>
      <c r="P86" s="154" t="n">
        <f aca="false">SUM('FlowCal Raw'!DO86:DT86)</f>
        <v>0.739</v>
      </c>
    </row>
    <row r="87" customFormat="false" ht="15.75" hidden="false" customHeight="true" outlineLevel="0" collapsed="false">
      <c r="A87" s="142" t="str">
        <f aca="false">'FlowCal Raw'!C87</f>
        <v>5.00.21</v>
      </c>
      <c r="B87" s="142" t="str">
        <f aca="false">'FlowCal Raw'!D87</f>
        <v>Nailed It A Compressor Fuel</v>
      </c>
      <c r="C87" s="142" t="n">
        <f aca="false">'FlowCal Raw'!E87</f>
        <v>19006.73</v>
      </c>
      <c r="D87" s="142" t="n">
        <f aca="false">'FlowCal Raw'!F87</f>
        <v>24062.52</v>
      </c>
      <c r="E87" s="81" t="n">
        <f aca="false">'FlowCal Raw'!I87</f>
        <v>1117.10386073734</v>
      </c>
      <c r="F87" s="81" t="n">
        <f aca="false">'FlowCal Raw'!J87</f>
        <v>119.655024376546</v>
      </c>
      <c r="G87" s="154" t="n">
        <f aca="false">'FlowCal Raw'!DF87</f>
        <v>0.172</v>
      </c>
      <c r="H87" s="154" t="n">
        <f aca="false">'FlowCal Raw'!DG87</f>
        <v>0.803</v>
      </c>
      <c r="I87" s="154" t="n">
        <f aca="false">'FlowCal Raw'!DH87</f>
        <v>78.701</v>
      </c>
      <c r="J87" s="154" t="n">
        <f aca="false">'FlowCal Raw'!DI87</f>
        <v>11.447</v>
      </c>
      <c r="K87" s="154" t="n">
        <f aca="false">'FlowCal Raw'!DJ87</f>
        <v>5.059</v>
      </c>
      <c r="L87" s="154" t="n">
        <f aca="false">'FlowCal Raw'!DK87</f>
        <v>0.769</v>
      </c>
      <c r="M87" s="154" t="n">
        <f aca="false">'FlowCal Raw'!DL87</f>
        <v>1.687</v>
      </c>
      <c r="N87" s="154" t="n">
        <f aca="false">'FlowCal Raw'!DM87</f>
        <v>0.402</v>
      </c>
      <c r="O87" s="154" t="n">
        <f aca="false">'FlowCal Raw'!DN87</f>
        <v>0.452</v>
      </c>
      <c r="P87" s="154" t="n">
        <f aca="false">SUM('FlowCal Raw'!DO87:DT87)</f>
        <v>0.508</v>
      </c>
    </row>
    <row r="88" customFormat="false" ht="15.75" hidden="false" customHeight="true" outlineLevel="0" collapsed="false">
      <c r="A88" s="142" t="str">
        <f aca="false">'FlowCal Raw'!C88</f>
        <v>5.00.22</v>
      </c>
      <c r="B88" s="142" t="str">
        <f aca="false">'FlowCal Raw'!D88</f>
        <v>Bluto Compressor Fuel #1</v>
      </c>
      <c r="C88" s="142" t="n">
        <f aca="false">'FlowCal Raw'!E88</f>
        <v>0</v>
      </c>
      <c r="D88" s="142" t="n">
        <f aca="false">'FlowCal Raw'!F88</f>
        <v>0</v>
      </c>
      <c r="E88" s="81" t="n">
        <f aca="false">'FlowCal Raw'!I88</f>
        <v>972.771212916221</v>
      </c>
      <c r="F88" s="81" t="n">
        <f aca="false">'FlowCal Raw'!J88</f>
        <v>76.9374464763108</v>
      </c>
      <c r="G88" s="154" t="n">
        <f aca="false">'FlowCal Raw'!DF88</f>
        <v>0.089</v>
      </c>
      <c r="H88" s="154" t="n">
        <f aca="false">'FlowCal Raw'!DG88</f>
        <v>0.754</v>
      </c>
      <c r="I88" s="154" t="n">
        <f aca="false">'FlowCal Raw'!DH88</f>
        <v>81.445</v>
      </c>
      <c r="J88" s="154" t="n">
        <f aca="false">'FlowCal Raw'!DI88</f>
        <v>10.582</v>
      </c>
      <c r="K88" s="154" t="n">
        <f aca="false">'FlowCal Raw'!DJ88</f>
        <v>3.952</v>
      </c>
      <c r="L88" s="154" t="n">
        <f aca="false">'FlowCal Raw'!DK88</f>
        <v>0.612</v>
      </c>
      <c r="M88" s="154" t="n">
        <f aca="false">'FlowCal Raw'!DL88</f>
        <v>1.202</v>
      </c>
      <c r="N88" s="154" t="n">
        <f aca="false">'FlowCal Raw'!DM88</f>
        <v>0.318</v>
      </c>
      <c r="O88" s="154" t="n">
        <f aca="false">'FlowCal Raw'!DN88</f>
        <v>0.355</v>
      </c>
      <c r="P88" s="154" t="n">
        <f aca="false">SUM('FlowCal Raw'!DO88:DT88)</f>
        <v>0.691</v>
      </c>
    </row>
    <row r="89" customFormat="false" ht="15.75" hidden="false" customHeight="true" outlineLevel="0" collapsed="false">
      <c r="A89" s="142" t="str">
        <f aca="false">'FlowCal Raw'!C89</f>
        <v>5.00.23</v>
      </c>
      <c r="B89" s="142" t="str">
        <f aca="false">'FlowCal Raw'!D89</f>
        <v>Bluto Compressor Fuel #2</v>
      </c>
      <c r="C89" s="142" t="n">
        <f aca="false">'FlowCal Raw'!E89</f>
        <v>4687.64</v>
      </c>
      <c r="D89" s="142" t="n">
        <f aca="false">'FlowCal Raw'!F89</f>
        <v>5770.49</v>
      </c>
      <c r="E89" s="81" t="n">
        <f aca="false">'FlowCal Raw'!I89</f>
        <v>150.716542082212</v>
      </c>
      <c r="F89" s="81" t="n">
        <f aca="false">'FlowCal Raw'!J89</f>
        <v>74.7739507115649</v>
      </c>
      <c r="G89" s="154" t="n">
        <f aca="false">'FlowCal Raw'!DF89</f>
        <v>0.089</v>
      </c>
      <c r="H89" s="154" t="n">
        <f aca="false">'FlowCal Raw'!DG89</f>
        <v>0.754</v>
      </c>
      <c r="I89" s="154" t="n">
        <f aca="false">'FlowCal Raw'!DH89</f>
        <v>81.445</v>
      </c>
      <c r="J89" s="154" t="n">
        <f aca="false">'FlowCal Raw'!DI89</f>
        <v>10.582</v>
      </c>
      <c r="K89" s="154" t="n">
        <f aca="false">'FlowCal Raw'!DJ89</f>
        <v>3.952</v>
      </c>
      <c r="L89" s="154" t="n">
        <f aca="false">'FlowCal Raw'!DK89</f>
        <v>0.612</v>
      </c>
      <c r="M89" s="154" t="n">
        <f aca="false">'FlowCal Raw'!DL89</f>
        <v>1.202</v>
      </c>
      <c r="N89" s="154" t="n">
        <f aca="false">'FlowCal Raw'!DM89</f>
        <v>0.318</v>
      </c>
      <c r="O89" s="154" t="n">
        <f aca="false">'FlowCal Raw'!DN89</f>
        <v>0.355</v>
      </c>
      <c r="P89" s="154" t="n">
        <f aca="false">SUM('FlowCal Raw'!DO89:DT89)</f>
        <v>0.691</v>
      </c>
    </row>
    <row r="90" customFormat="false" ht="15.75" hidden="false" customHeight="true" outlineLevel="0" collapsed="false">
      <c r="A90" s="142" t="str">
        <f aca="false">'FlowCal Raw'!C90</f>
        <v>5.00.24</v>
      </c>
      <c r="B90" s="142" t="str">
        <f aca="false">'FlowCal Raw'!D90</f>
        <v>Cypress Compressor Fuel</v>
      </c>
      <c r="C90" s="142" t="n">
        <f aca="false">'FlowCal Raw'!E90</f>
        <v>17944.11</v>
      </c>
      <c r="D90" s="142" t="n">
        <f aca="false">'FlowCal Raw'!F90</f>
        <v>23165.84</v>
      </c>
      <c r="E90" s="81" t="n">
        <f aca="false">'FlowCal Raw'!I90</f>
        <v>1126.97190137611</v>
      </c>
      <c r="F90" s="81" t="n">
        <f aca="false">'FlowCal Raw'!J90</f>
        <v>98.2546178104477</v>
      </c>
      <c r="G90" s="154" t="n">
        <f aca="false">'FlowCal Raw'!DF90</f>
        <v>0.239</v>
      </c>
      <c r="H90" s="154" t="n">
        <f aca="false">'FlowCal Raw'!DG90</f>
        <v>1.021</v>
      </c>
      <c r="I90" s="154" t="n">
        <f aca="false">'FlowCal Raw'!DH90</f>
        <v>77.21</v>
      </c>
      <c r="J90" s="154" t="n">
        <f aca="false">'FlowCal Raw'!DI90</f>
        <v>11.301</v>
      </c>
      <c r="K90" s="154" t="n">
        <f aca="false">'FlowCal Raw'!DJ90</f>
        <v>5.667</v>
      </c>
      <c r="L90" s="154" t="n">
        <f aca="false">'FlowCal Raw'!DK90</f>
        <v>0.891</v>
      </c>
      <c r="M90" s="154" t="n">
        <f aca="false">'FlowCal Raw'!DL90</f>
        <v>2.046</v>
      </c>
      <c r="N90" s="154" t="n">
        <f aca="false">'FlowCal Raw'!DM90</f>
        <v>0.493</v>
      </c>
      <c r="O90" s="154" t="n">
        <f aca="false">'FlowCal Raw'!DN90</f>
        <v>0.537</v>
      </c>
      <c r="P90" s="154" t="n">
        <f aca="false">SUM('FlowCal Raw'!DO90:DT90)</f>
        <v>0.595</v>
      </c>
    </row>
    <row r="91" customFormat="false" ht="15.75" hidden="false" customHeight="true" outlineLevel="0" collapsed="false">
      <c r="A91" s="142" t="str">
        <f aca="false">'FlowCal Raw'!C91</f>
        <v>5.00.28</v>
      </c>
      <c r="B91" s="142" t="str">
        <f aca="false">'FlowCal Raw'!D91</f>
        <v>Welcome to Golden Compressor Fuel</v>
      </c>
      <c r="C91" s="142" t="n">
        <f aca="false">'FlowCal Raw'!E91</f>
        <v>24688.41</v>
      </c>
      <c r="D91" s="142" t="n">
        <f aca="false">'FlowCal Raw'!F91</f>
        <v>31132.08</v>
      </c>
      <c r="E91" s="81" t="n">
        <f aca="false">'FlowCal Raw'!I91</f>
        <v>134.763348922539</v>
      </c>
      <c r="F91" s="81" t="n">
        <f aca="false">'FlowCal Raw'!J91</f>
        <v>51.5958574856468</v>
      </c>
      <c r="G91" s="154" t="n">
        <f aca="false">'FlowCal Raw'!DF91</f>
        <v>0.164</v>
      </c>
      <c r="H91" s="154" t="n">
        <f aca="false">'FlowCal Raw'!DG91</f>
        <v>0.839</v>
      </c>
      <c r="I91" s="154" t="n">
        <f aca="false">'FlowCal Raw'!DH91</f>
        <v>78.305</v>
      </c>
      <c r="J91" s="154" t="n">
        <f aca="false">'FlowCal Raw'!DI91</f>
        <v>11.796</v>
      </c>
      <c r="K91" s="154" t="n">
        <f aca="false">'FlowCal Raw'!DJ91</f>
        <v>5.3</v>
      </c>
      <c r="L91" s="154" t="n">
        <f aca="false">'FlowCal Raw'!DK91</f>
        <v>0.812</v>
      </c>
      <c r="M91" s="154" t="n">
        <f aca="false">'FlowCal Raw'!DL91</f>
        <v>1.743</v>
      </c>
      <c r="N91" s="154" t="n">
        <f aca="false">'FlowCal Raw'!DM91</f>
        <v>0.386</v>
      </c>
      <c r="O91" s="154" t="n">
        <f aca="false">'FlowCal Raw'!DN91</f>
        <v>0.4</v>
      </c>
      <c r="P91" s="154" t="n">
        <f aca="false">SUM('FlowCal Raw'!DO91:DT91)</f>
        <v>0.255</v>
      </c>
    </row>
    <row r="92" customFormat="false" ht="15.75" hidden="false" customHeight="true" outlineLevel="0" collapsed="false">
      <c r="A92" s="142" t="str">
        <f aca="false">'FlowCal Raw'!C92</f>
        <v>5.00.29</v>
      </c>
      <c r="B92" s="142" t="str">
        <f aca="false">'FlowCal Raw'!D92</f>
        <v>Oasis Fuel Gas</v>
      </c>
      <c r="C92" s="142" t="n">
        <f aca="false">'FlowCal Raw'!E92</f>
        <v>19289.82</v>
      </c>
      <c r="D92" s="142" t="n">
        <f aca="false">'FlowCal Raw'!F92</f>
        <v>25694.05</v>
      </c>
      <c r="E92" s="81" t="n">
        <f aca="false">'FlowCal Raw'!I92</f>
        <v>166.804182479373</v>
      </c>
      <c r="F92" s="81" t="n">
        <f aca="false">'FlowCal Raw'!J92</f>
        <v>42.2946903994656</v>
      </c>
      <c r="G92" s="154" t="n">
        <f aca="false">'FlowCal Raw'!DF92</f>
        <v>0.435</v>
      </c>
      <c r="H92" s="154" t="n">
        <f aca="false">'FlowCal Raw'!DG92</f>
        <v>1.102</v>
      </c>
      <c r="I92" s="154" t="n">
        <f aca="false">'FlowCal Raw'!DH92</f>
        <v>72.548</v>
      </c>
      <c r="J92" s="154" t="n">
        <f aca="false">'FlowCal Raw'!DI92</f>
        <v>12.995</v>
      </c>
      <c r="K92" s="154" t="n">
        <f aca="false">'FlowCal Raw'!DJ92</f>
        <v>8.37</v>
      </c>
      <c r="L92" s="154" t="n">
        <f aca="false">'FlowCal Raw'!DK92</f>
        <v>0.903</v>
      </c>
      <c r="M92" s="154" t="n">
        <f aca="false">'FlowCal Raw'!DL92</f>
        <v>2.665</v>
      </c>
      <c r="N92" s="154" t="n">
        <f aca="false">'FlowCal Raw'!DM92</f>
        <v>0.423</v>
      </c>
      <c r="O92" s="154" t="n">
        <f aca="false">'FlowCal Raw'!DN92</f>
        <v>0.408</v>
      </c>
      <c r="P92" s="154" t="n">
        <f aca="false">SUM('FlowCal Raw'!DO92:DT92)</f>
        <v>0.151</v>
      </c>
    </row>
    <row r="93" customFormat="false" ht="15.75" hidden="false" customHeight="true" outlineLevel="0" collapsed="false">
      <c r="A93" s="142" t="str">
        <f aca="false">'FlowCal Raw'!C93</f>
        <v>5.00.32</v>
      </c>
      <c r="B93" s="142" t="str">
        <f aca="false">'FlowCal Raw'!D93</f>
        <v>Abigail Compressor Fuel</v>
      </c>
      <c r="C93" s="142" t="n">
        <f aca="false">'FlowCal Raw'!E93</f>
        <v>0</v>
      </c>
      <c r="D93" s="142" t="n">
        <f aca="false">'FlowCal Raw'!F93</f>
        <v>0</v>
      </c>
      <c r="E93" s="81" t="n">
        <f aca="false">'FlowCal Raw'!I93</f>
        <v>-1.29618432685252</v>
      </c>
      <c r="F93" s="81" t="n">
        <f aca="false">'FlowCal Raw'!J93</f>
        <v>79.9532095847591</v>
      </c>
      <c r="G93" s="154" t="n">
        <f aca="false">'FlowCal Raw'!DF93</f>
        <v>0.216999992728233</v>
      </c>
      <c r="H93" s="154" t="n">
        <f aca="false">'FlowCal Raw'!DG93</f>
        <v>0.533999979496002</v>
      </c>
      <c r="I93" s="154" t="n">
        <f aca="false">'FlowCal Raw'!DH93</f>
        <v>85.2399978637695</v>
      </c>
      <c r="J93" s="154" t="n">
        <f aca="false">'FlowCal Raw'!DI93</f>
        <v>7.75600004196167</v>
      </c>
      <c r="K93" s="154" t="n">
        <f aca="false">'FlowCal Raw'!DJ93</f>
        <v>3.75300002098083</v>
      </c>
      <c r="L93" s="154" t="n">
        <f aca="false">'FlowCal Raw'!DK93</f>
        <v>0.503000020980835</v>
      </c>
      <c r="M93" s="154" t="n">
        <f aca="false">'FlowCal Raw'!DL93</f>
        <v>1.21899998188019</v>
      </c>
      <c r="N93" s="154" t="n">
        <f aca="false">'FlowCal Raw'!DM93</f>
        <v>0.275999993085861</v>
      </c>
      <c r="O93" s="154" t="n">
        <f aca="false">'FlowCal Raw'!DN93</f>
        <v>0.296000003814697</v>
      </c>
      <c r="P93" s="154" t="n">
        <f aca="false">SUM('FlowCal Raw'!DO93:DT93)</f>
        <v>0.206000000238419</v>
      </c>
    </row>
    <row r="94" customFormat="false" ht="15.75" hidden="false" customHeight="true" outlineLevel="0" collapsed="false">
      <c r="A94" s="142" t="str">
        <f aca="false">'FlowCal Raw'!C94</f>
        <v>5.00.33</v>
      </c>
      <c r="B94" s="142" t="str">
        <f aca="false">'FlowCal Raw'!D94</f>
        <v>Emma Fuel Gas</v>
      </c>
      <c r="C94" s="142" t="n">
        <f aca="false">'FlowCal Raw'!E94</f>
        <v>3684.48</v>
      </c>
      <c r="D94" s="142" t="n">
        <f aca="false">'FlowCal Raw'!F94</f>
        <v>4454.54</v>
      </c>
      <c r="E94" s="81" t="n">
        <f aca="false">'FlowCal Raw'!I94</f>
        <v>155.816678558688</v>
      </c>
      <c r="F94" s="81" t="n">
        <f aca="false">'FlowCal Raw'!J94</f>
        <v>60.6562046185497</v>
      </c>
      <c r="G94" s="154" t="n">
        <f aca="false">'FlowCal Raw'!DF94</f>
        <v>0.318</v>
      </c>
      <c r="H94" s="154" t="n">
        <f aca="false">'FlowCal Raw'!DG94</f>
        <v>0.55</v>
      </c>
      <c r="I94" s="154" t="n">
        <f aca="false">'FlowCal Raw'!DH94</f>
        <v>84.27</v>
      </c>
      <c r="J94" s="154" t="n">
        <f aca="false">'FlowCal Raw'!DI94</f>
        <v>7.86</v>
      </c>
      <c r="K94" s="154" t="n">
        <f aca="false">'FlowCal Raw'!DJ94</f>
        <v>3.738</v>
      </c>
      <c r="L94" s="154" t="n">
        <f aca="false">'FlowCal Raw'!DK94</f>
        <v>0.516</v>
      </c>
      <c r="M94" s="154" t="n">
        <f aca="false">'FlowCal Raw'!DL94</f>
        <v>1.299</v>
      </c>
      <c r="N94" s="154" t="n">
        <f aca="false">'FlowCal Raw'!DM94</f>
        <v>0.349</v>
      </c>
      <c r="O94" s="154" t="n">
        <f aca="false">'FlowCal Raw'!DN94</f>
        <v>0.422</v>
      </c>
      <c r="P94" s="154" t="n">
        <f aca="false">SUM('FlowCal Raw'!DO94:DT94)</f>
        <v>0.678</v>
      </c>
    </row>
    <row r="95" customFormat="false" ht="15.75" hidden="false" customHeight="true" outlineLevel="0" collapsed="false">
      <c r="A95" s="142" t="str">
        <f aca="false">'FlowCal Raw'!C95</f>
        <v>5.00.34</v>
      </c>
      <c r="B95" s="142" t="str">
        <f aca="false">'FlowCal Raw'!D95</f>
        <v>Nailed It B Fuel</v>
      </c>
      <c r="C95" s="142" t="n">
        <f aca="false">'FlowCal Raw'!E95</f>
        <v>25831.73</v>
      </c>
      <c r="D95" s="142" t="n">
        <f aca="false">'FlowCal Raw'!F95</f>
        <v>29964.8</v>
      </c>
      <c r="E95" s="81" t="n">
        <f aca="false">'FlowCal Raw'!I95</f>
        <v>149.626295975786</v>
      </c>
      <c r="F95" s="81" t="n">
        <f aca="false">'FlowCal Raw'!J95</f>
        <v>74.2187863971503</v>
      </c>
      <c r="G95" s="154" t="n">
        <f aca="false">'FlowCal Raw'!DF95</f>
        <v>0.168</v>
      </c>
      <c r="H95" s="154" t="n">
        <f aca="false">'FlowCal Raw'!DG95</f>
        <v>2.117</v>
      </c>
      <c r="I95" s="154" t="n">
        <f aca="false">'FlowCal Raw'!DH95</f>
        <v>81.79</v>
      </c>
      <c r="J95" s="154" t="n">
        <f aca="false">'FlowCal Raw'!DI95</f>
        <v>10.687</v>
      </c>
      <c r="K95" s="154" t="n">
        <f aca="false">'FlowCal Raw'!DJ95</f>
        <v>3.797</v>
      </c>
      <c r="L95" s="154" t="n">
        <f aca="false">'FlowCal Raw'!DK95</f>
        <v>0.438</v>
      </c>
      <c r="M95" s="154" t="n">
        <f aca="false">'FlowCal Raw'!DL95</f>
        <v>0.766</v>
      </c>
      <c r="N95" s="154" t="n">
        <f aca="false">'FlowCal Raw'!DM95</f>
        <v>0.103</v>
      </c>
      <c r="O95" s="154" t="n">
        <f aca="false">'FlowCal Raw'!DN95</f>
        <v>0.09</v>
      </c>
      <c r="P95" s="154" t="n">
        <f aca="false">SUM('FlowCal Raw'!DO95:DT95)</f>
        <v>0.044</v>
      </c>
    </row>
    <row r="96" customFormat="false" ht="15.75" hidden="false" customHeight="true" outlineLevel="0" collapsed="false">
      <c r="A96" s="142" t="str">
        <f aca="false">'FlowCal Raw'!C96</f>
        <v>5.00.35</v>
      </c>
      <c r="B96" s="142" t="str">
        <f aca="false">'FlowCal Raw'!D96</f>
        <v>Cypress 33 Fuel</v>
      </c>
      <c r="C96" s="142" t="n">
        <f aca="false">'FlowCal Raw'!E96</f>
        <v>15274.83</v>
      </c>
      <c r="D96" s="142" t="n">
        <f aca="false">'FlowCal Raw'!F96</f>
        <v>19337.93</v>
      </c>
      <c r="E96" s="81" t="n">
        <f aca="false">'FlowCal Raw'!I96</f>
        <v>140.257032506281</v>
      </c>
      <c r="F96" s="81" t="n">
        <f aca="false">'FlowCal Raw'!J96</f>
        <v>34.821417685294</v>
      </c>
      <c r="G96" s="154" t="n">
        <f aca="false">'FlowCal Raw'!DF96</f>
        <v>0.121</v>
      </c>
      <c r="H96" s="154" t="n">
        <f aca="false">'FlowCal Raw'!DG96</f>
        <v>0.839</v>
      </c>
      <c r="I96" s="154" t="n">
        <f aca="false">'FlowCal Raw'!DH96</f>
        <v>79.667</v>
      </c>
      <c r="J96" s="154" t="n">
        <f aca="false">'FlowCal Raw'!DI96</f>
        <v>10.619</v>
      </c>
      <c r="K96" s="154" t="n">
        <f aca="false">'FlowCal Raw'!DJ96</f>
        <v>4.586</v>
      </c>
      <c r="L96" s="154" t="n">
        <f aca="false">'FlowCal Raw'!DK96</f>
        <v>0.744</v>
      </c>
      <c r="M96" s="154" t="n">
        <f aca="false">'FlowCal Raw'!DL96</f>
        <v>1.639</v>
      </c>
      <c r="N96" s="154" t="n">
        <f aca="false">'FlowCal Raw'!DM96</f>
        <v>0.501</v>
      </c>
      <c r="O96" s="154" t="n">
        <f aca="false">'FlowCal Raw'!DN96</f>
        <v>0.572</v>
      </c>
      <c r="P96" s="154" t="n">
        <f aca="false">SUM('FlowCal Raw'!DO96:DT96)</f>
        <v>0.712</v>
      </c>
    </row>
    <row r="97" customFormat="false" ht="15.75" hidden="false" customHeight="true" outlineLevel="0" collapsed="false">
      <c r="A97" s="142" t="str">
        <f aca="false">'FlowCal Raw'!C97</f>
        <v>5.00.36</v>
      </c>
      <c r="B97" s="142" t="str">
        <f aca="false">'FlowCal Raw'!D97</f>
        <v>Tribute Compressor Station Fuel</v>
      </c>
      <c r="C97" s="142" t="n">
        <f aca="false">'FlowCal Raw'!E97</f>
        <v>31266.74</v>
      </c>
      <c r="D97" s="142" t="n">
        <f aca="false">'FlowCal Raw'!F97</f>
        <v>39396.09</v>
      </c>
      <c r="E97" s="81" t="n">
        <f aca="false">'FlowCal Raw'!I97</f>
        <v>157.454098355904</v>
      </c>
      <c r="F97" s="81" t="n">
        <f aca="false">'FlowCal Raw'!J97</f>
        <v>36.7600567715396</v>
      </c>
      <c r="G97" s="154" t="n">
        <f aca="false">'FlowCal Raw'!DF97</f>
        <v>0.157</v>
      </c>
      <c r="H97" s="154" t="n">
        <f aca="false">'FlowCal Raw'!DG97</f>
        <v>0.886</v>
      </c>
      <c r="I97" s="154" t="n">
        <f aca="false">'FlowCal Raw'!DH97</f>
        <v>78.052</v>
      </c>
      <c r="J97" s="154" t="n">
        <f aca="false">'FlowCal Raw'!DI97</f>
        <v>12.031</v>
      </c>
      <c r="K97" s="154" t="n">
        <f aca="false">'FlowCal Raw'!DJ97</f>
        <v>5.447</v>
      </c>
      <c r="L97" s="154" t="n">
        <f aca="false">'FlowCal Raw'!DK97</f>
        <v>0.791</v>
      </c>
      <c r="M97" s="154" t="n">
        <f aca="false">'FlowCal Raw'!DL97</f>
        <v>1.704</v>
      </c>
      <c r="N97" s="154" t="n">
        <f aca="false">'FlowCal Raw'!DM97</f>
        <v>0.35</v>
      </c>
      <c r="O97" s="154" t="n">
        <f aca="false">'FlowCal Raw'!DN97</f>
        <v>0.356</v>
      </c>
      <c r="P97" s="154" t="n">
        <f aca="false">SUM('FlowCal Raw'!DO97:DT97)</f>
        <v>0.226</v>
      </c>
    </row>
    <row r="98" customFormat="false" ht="15.75" hidden="false" customHeight="true" outlineLevel="0" collapsed="false">
      <c r="A98" s="142" t="str">
        <f aca="false">'FlowCal Raw'!C98</f>
        <v>5.00.5</v>
      </c>
      <c r="B98" s="142" t="str">
        <f aca="false">'FlowCal Raw'!D98</f>
        <v>BOP VRU Makeup #2</v>
      </c>
      <c r="C98" s="142" t="n">
        <f aca="false">'FlowCal Raw'!E98</f>
        <v>0</v>
      </c>
      <c r="D98" s="142" t="n">
        <f aca="false">'FlowCal Raw'!F98</f>
        <v>0</v>
      </c>
      <c r="E98" s="81" t="n">
        <f aca="false">'FlowCal Raw'!I98</f>
        <v>180.05083867555</v>
      </c>
      <c r="F98" s="81" t="n">
        <f aca="false">'FlowCal Raw'!J98</f>
        <v>80.261414235638</v>
      </c>
      <c r="G98" s="154" t="n">
        <f aca="false">'FlowCal Raw'!DF98</f>
        <v>0</v>
      </c>
      <c r="H98" s="154" t="n">
        <f aca="false">'FlowCal Raw'!DG98</f>
        <v>0</v>
      </c>
      <c r="I98" s="154" t="n">
        <f aca="false">'FlowCal Raw'!DH98</f>
        <v>100</v>
      </c>
      <c r="J98" s="154" t="n">
        <f aca="false">'FlowCal Raw'!DI98</f>
        <v>0</v>
      </c>
      <c r="K98" s="154" t="n">
        <f aca="false">'FlowCal Raw'!DJ98</f>
        <v>0</v>
      </c>
      <c r="L98" s="154" t="n">
        <f aca="false">'FlowCal Raw'!DK98</f>
        <v>0</v>
      </c>
      <c r="M98" s="154" t="n">
        <f aca="false">'FlowCal Raw'!DL98</f>
        <v>0</v>
      </c>
      <c r="N98" s="154" t="n">
        <f aca="false">'FlowCal Raw'!DM98</f>
        <v>0</v>
      </c>
      <c r="O98" s="154" t="n">
        <f aca="false">'FlowCal Raw'!DN98</f>
        <v>0</v>
      </c>
      <c r="P98" s="154" t="n">
        <f aca="false">SUM('FlowCal Raw'!DO98:DT98)</f>
        <v>0</v>
      </c>
    </row>
    <row r="99" customFormat="false" ht="15.75" hidden="false" customHeight="true" outlineLevel="0" collapsed="false">
      <c r="A99" s="142" t="str">
        <f aca="false">'FlowCal Raw'!C99</f>
        <v>5.00.6</v>
      </c>
      <c r="B99" s="142" t="str">
        <f aca="false">'FlowCal Raw'!D99</f>
        <v>Pecos BOP Fuel #3</v>
      </c>
      <c r="C99" s="142" t="n">
        <f aca="false">'FlowCal Raw'!E99</f>
        <v>14056.53</v>
      </c>
      <c r="D99" s="142" t="n">
        <f aca="false">'FlowCal Raw'!F99</f>
        <v>14112.76</v>
      </c>
      <c r="E99" s="81" t="n">
        <f aca="false">'FlowCal Raw'!I99</f>
        <v>196.637397937609</v>
      </c>
      <c r="F99" s="81" t="n">
        <f aca="false">'FlowCal Raw'!J99</f>
        <v>78.6185253117195</v>
      </c>
      <c r="G99" s="154" t="n">
        <f aca="false">'FlowCal Raw'!DF99</f>
        <v>0</v>
      </c>
      <c r="H99" s="154" t="n">
        <f aca="false">'FlowCal Raw'!DG99</f>
        <v>1.099</v>
      </c>
      <c r="I99" s="154" t="n">
        <f aca="false">'FlowCal Raw'!DH99</f>
        <v>98.081</v>
      </c>
      <c r="J99" s="154" t="n">
        <f aca="false">'FlowCal Raw'!DI99</f>
        <v>0.775</v>
      </c>
      <c r="K99" s="154" t="n">
        <f aca="false">'FlowCal Raw'!DJ99</f>
        <v>0.045</v>
      </c>
      <c r="L99" s="154" t="n">
        <f aca="false">'FlowCal Raw'!DK99</f>
        <v>0</v>
      </c>
      <c r="M99" s="154" t="n">
        <f aca="false">'FlowCal Raw'!DL99</f>
        <v>0</v>
      </c>
      <c r="N99" s="154" t="n">
        <f aca="false">'FlowCal Raw'!DM99</f>
        <v>0</v>
      </c>
      <c r="O99" s="154" t="n">
        <f aca="false">'FlowCal Raw'!DN99</f>
        <v>0</v>
      </c>
      <c r="P99" s="154" t="n">
        <f aca="false">SUM('FlowCal Raw'!DO99:DT99)</f>
        <v>0</v>
      </c>
    </row>
    <row r="100" customFormat="false" ht="15.75" hidden="false" customHeight="true" outlineLevel="0" collapsed="false">
      <c r="A100" s="142" t="str">
        <f aca="false">'FlowCal Raw'!C100</f>
        <v>5.00.7</v>
      </c>
      <c r="B100" s="142" t="str">
        <f aca="false">'FlowCal Raw'!D100</f>
        <v>Pecos 1 LP Fuel</v>
      </c>
      <c r="C100" s="142" t="n">
        <f aca="false">'FlowCal Raw'!E100</f>
        <v>9614.86</v>
      </c>
      <c r="D100" s="142" t="n">
        <f aca="false">'FlowCal Raw'!F100</f>
        <v>9720.62</v>
      </c>
      <c r="E100" s="81" t="n">
        <f aca="false">'FlowCal Raw'!I100</f>
        <v>203.170050663309</v>
      </c>
      <c r="F100" s="81" t="n">
        <f aca="false">'FlowCal Raw'!J100</f>
        <v>82.844556337391</v>
      </c>
      <c r="G100" s="154" t="n">
        <f aca="false">'FlowCal Raw'!DF100</f>
        <v>0</v>
      </c>
      <c r="H100" s="154" t="n">
        <f aca="false">'FlowCal Raw'!DG100</f>
        <v>1.095</v>
      </c>
      <c r="I100" s="154" t="n">
        <f aca="false">'FlowCal Raw'!DH100</f>
        <v>97.438</v>
      </c>
      <c r="J100" s="154" t="n">
        <f aca="false">'FlowCal Raw'!DI100</f>
        <v>1.242</v>
      </c>
      <c r="K100" s="154" t="n">
        <f aca="false">'FlowCal Raw'!DJ100</f>
        <v>0.189</v>
      </c>
      <c r="L100" s="154" t="n">
        <f aca="false">'FlowCal Raw'!DK100</f>
        <v>0.014</v>
      </c>
      <c r="M100" s="154" t="n">
        <f aca="false">'FlowCal Raw'!DL100</f>
        <v>0.022</v>
      </c>
      <c r="N100" s="154" t="n">
        <f aca="false">'FlowCal Raw'!DM100</f>
        <v>0</v>
      </c>
      <c r="O100" s="154" t="n">
        <f aca="false">'FlowCal Raw'!DN100</f>
        <v>0</v>
      </c>
      <c r="P100" s="154" t="n">
        <f aca="false">SUM('FlowCal Raw'!DO100:DT100)</f>
        <v>0</v>
      </c>
    </row>
    <row r="101" customFormat="false" ht="15.75" hidden="false" customHeight="true" outlineLevel="0" collapsed="false">
      <c r="A101" s="142" t="str">
        <f aca="false">'FlowCal Raw'!C101</f>
        <v>5.00.8</v>
      </c>
      <c r="B101" s="142" t="str">
        <f aca="false">'FlowCal Raw'!D101</f>
        <v>University Compressor Fuel</v>
      </c>
      <c r="C101" s="142" t="n">
        <f aca="false">'FlowCal Raw'!E101</f>
        <v>4752.29</v>
      </c>
      <c r="D101" s="142" t="n">
        <f aca="false">'FlowCal Raw'!F101</f>
        <v>6406.08</v>
      </c>
      <c r="E101" s="81" t="n">
        <f aca="false">'FlowCal Raw'!I101</f>
        <v>1045.56509794579</v>
      </c>
      <c r="F101" s="81" t="n">
        <f aca="false">'FlowCal Raw'!J101</f>
        <v>97.041663788126</v>
      </c>
      <c r="G101" s="154" t="n">
        <f aca="false">'FlowCal Raw'!DF101</f>
        <v>0.268</v>
      </c>
      <c r="H101" s="154" t="n">
        <f aca="false">'FlowCal Raw'!DG101</f>
        <v>1.416</v>
      </c>
      <c r="I101" s="154" t="n">
        <f aca="false">'FlowCal Raw'!DH101</f>
        <v>71.766</v>
      </c>
      <c r="J101" s="154" t="n">
        <f aca="false">'FlowCal Raw'!DI101</f>
        <v>12.868</v>
      </c>
      <c r="K101" s="154" t="n">
        <f aca="false">'FlowCal Raw'!DJ101</f>
        <v>8.665</v>
      </c>
      <c r="L101" s="154" t="n">
        <f aca="false">'FlowCal Raw'!DK101</f>
        <v>0.95</v>
      </c>
      <c r="M101" s="154" t="n">
        <f aca="false">'FlowCal Raw'!DL101</f>
        <v>2.81</v>
      </c>
      <c r="N101" s="154" t="n">
        <f aca="false">'FlowCal Raw'!DM101</f>
        <v>0.469</v>
      </c>
      <c r="O101" s="154" t="n">
        <f aca="false">'FlowCal Raw'!DN101</f>
        <v>0.513</v>
      </c>
      <c r="P101" s="154" t="n">
        <f aca="false">SUM('FlowCal Raw'!DO101:DT101)</f>
        <v>0.275</v>
      </c>
    </row>
    <row r="102" customFormat="false" ht="15.75" hidden="false" customHeight="true" outlineLevel="0" collapsed="false">
      <c r="A102" s="142" t="str">
        <f aca="false">'FlowCal Raw'!C102</f>
        <v>7.00.1</v>
      </c>
      <c r="B102" s="142" t="str">
        <f aca="false">'FlowCal Raw'!D102</f>
        <v>Lowe Compressor Inlet</v>
      </c>
      <c r="C102" s="142" t="n">
        <f aca="false">'FlowCal Raw'!E102</f>
        <v>508596.82</v>
      </c>
      <c r="D102" s="142" t="n">
        <f aca="false">'FlowCal Raw'!F102</f>
        <v>635746.02</v>
      </c>
      <c r="E102" s="81" t="n">
        <f aca="false">'FlowCal Raw'!I102</f>
        <v>73.2529260051732</v>
      </c>
      <c r="F102" s="81" t="n">
        <f aca="false">'FlowCal Raw'!J102</f>
        <v>70.3270674614634</v>
      </c>
      <c r="G102" s="154" t="n">
        <f aca="false">'FlowCal Raw'!DF102</f>
        <v>0.125</v>
      </c>
      <c r="H102" s="154" t="n">
        <f aca="false">'FlowCal Raw'!DG102</f>
        <v>0.594</v>
      </c>
      <c r="I102" s="154" t="n">
        <f aca="false">'FlowCal Raw'!DH102</f>
        <v>80.708</v>
      </c>
      <c r="J102" s="154" t="n">
        <f aca="false">'FlowCal Raw'!DI102</f>
        <v>10.699</v>
      </c>
      <c r="K102" s="154" t="n">
        <f aca="false">'FlowCal Raw'!DJ102</f>
        <v>4.223</v>
      </c>
      <c r="L102" s="154" t="n">
        <f aca="false">'FlowCal Raw'!DK102</f>
        <v>0.728</v>
      </c>
      <c r="M102" s="154" t="n">
        <f aca="false">'FlowCal Raw'!DL102</f>
        <v>1.381</v>
      </c>
      <c r="N102" s="154" t="n">
        <f aca="false">'FlowCal Raw'!DM102</f>
        <v>0.387</v>
      </c>
      <c r="O102" s="154" t="n">
        <f aca="false">'FlowCal Raw'!DN102</f>
        <v>0.416</v>
      </c>
      <c r="P102" s="154" t="n">
        <f aca="false">SUM('FlowCal Raw'!DO102:DT102)</f>
        <v>0.739</v>
      </c>
    </row>
    <row r="103" customFormat="false" ht="15.75" hidden="false" customHeight="true" outlineLevel="0" collapsed="false">
      <c r="A103" s="142" t="str">
        <f aca="false">'FlowCal Raw'!C103</f>
        <v>7.00.3</v>
      </c>
      <c r="B103" s="142" t="str">
        <f aca="false">'FlowCal Raw'!D103</f>
        <v>Pecos 1 Inlet</v>
      </c>
      <c r="C103" s="142" t="n">
        <f aca="false">'FlowCal Raw'!E103</f>
        <v>4432232.3</v>
      </c>
      <c r="D103" s="142" t="n">
        <f aca="false">'FlowCal Raw'!F103</f>
        <v>5543868.05</v>
      </c>
      <c r="E103" s="81" t="n">
        <f aca="false">'FlowCal Raw'!I103</f>
        <v>958.610875369666</v>
      </c>
      <c r="F103" s="81" t="n">
        <f aca="false">'FlowCal Raw'!J103</f>
        <v>74.7203649043992</v>
      </c>
      <c r="G103" s="154" t="n">
        <f aca="false">'FlowCal Raw'!DF103</f>
        <v>0.329638958154139</v>
      </c>
      <c r="H103" s="154" t="n">
        <f aca="false">'FlowCal Raw'!DG103</f>
        <v>0.841558039433176</v>
      </c>
      <c r="I103" s="154" t="n">
        <f aca="false">'FlowCal Raw'!DH103</f>
        <v>79.5929339418582</v>
      </c>
      <c r="J103" s="154" t="n">
        <f aca="false">'FlowCal Raw'!DI103</f>
        <v>10.750317162005</v>
      </c>
      <c r="K103" s="154" t="n">
        <f aca="false">'FlowCal Raw'!DJ103</f>
        <v>5.14618593314819</v>
      </c>
      <c r="L103" s="154" t="n">
        <f aca="false">'FlowCal Raw'!DK103</f>
        <v>0.728508519339993</v>
      </c>
      <c r="M103" s="154" t="n">
        <f aca="false">'FlowCal Raw'!DL103</f>
        <v>1.59334016987004</v>
      </c>
      <c r="N103" s="154" t="n">
        <f aca="false">'FlowCal Raw'!DM103</f>
        <v>0.36395880375585</v>
      </c>
      <c r="O103" s="154" t="n">
        <f aca="false">'FlowCal Raw'!DN103</f>
        <v>0.363610980329868</v>
      </c>
      <c r="P103" s="154" t="n">
        <f aca="false">SUM('FlowCal Raw'!DO103:DT103)</f>
        <v>0.289947742830589</v>
      </c>
    </row>
    <row r="104" customFormat="false" ht="15.75" hidden="false" customHeight="true" outlineLevel="0" collapsed="false">
      <c r="A104" s="142" t="str">
        <f aca="false">'FlowCal Raw'!C104</f>
        <v>7.00.5</v>
      </c>
      <c r="B104" s="142" t="str">
        <f aca="false">'FlowCal Raw'!D104</f>
        <v>Pecos 2 Inlet</v>
      </c>
      <c r="C104" s="142" t="n">
        <f aca="false">'FlowCal Raw'!E104</f>
        <v>4628199.94</v>
      </c>
      <c r="D104" s="142" t="n">
        <f aca="false">'FlowCal Raw'!F104</f>
        <v>5788022.33</v>
      </c>
      <c r="E104" s="81" t="n">
        <f aca="false">'FlowCal Raw'!I104</f>
        <v>956.749445509249</v>
      </c>
      <c r="F104" s="81" t="n">
        <f aca="false">'FlowCal Raw'!J104</f>
        <v>74.2897944207508</v>
      </c>
      <c r="G104" s="154" t="n">
        <f aca="false">'FlowCal Raw'!DF104</f>
        <v>0.326322250540276</v>
      </c>
      <c r="H104" s="154" t="n">
        <f aca="false">'FlowCal Raw'!DG104</f>
        <v>0.842299317490597</v>
      </c>
      <c r="I104" s="154" t="n">
        <f aca="false">'FlowCal Raw'!DH104</f>
        <v>79.5521447705737</v>
      </c>
      <c r="J104" s="154" t="n">
        <f aca="false">'FlowCal Raw'!DI104</f>
        <v>10.8407623589501</v>
      </c>
      <c r="K104" s="154" t="n">
        <f aca="false">'FlowCal Raw'!DJ104</f>
        <v>5.10902262659626</v>
      </c>
      <c r="L104" s="154" t="n">
        <f aca="false">'FlowCal Raw'!DK104</f>
        <v>0.728704163415184</v>
      </c>
      <c r="M104" s="154" t="n">
        <f aca="false">'FlowCal Raw'!DL104</f>
        <v>1.59857756877488</v>
      </c>
      <c r="N104" s="154" t="n">
        <f aca="false">'FlowCal Raw'!DM104</f>
        <v>0.361830392854062</v>
      </c>
      <c r="O104" s="154" t="n">
        <f aca="false">'FlowCal Raw'!DN104</f>
        <v>0.354905976255753</v>
      </c>
      <c r="P104" s="154" t="n">
        <f aca="false">SUM('FlowCal Raw'!DO104:DT104)</f>
        <v>0.285430471164863</v>
      </c>
    </row>
    <row r="105" customFormat="false" ht="15.75" hidden="false" customHeight="true" outlineLevel="0" collapsed="false">
      <c r="A105" s="142" t="str">
        <f aca="false">'FlowCal Raw'!C105</f>
        <v>7.00.7</v>
      </c>
      <c r="B105" s="142" t="str">
        <f aca="false">'FlowCal Raw'!D105</f>
        <v>Coyote Inlet</v>
      </c>
      <c r="C105" s="142" t="n">
        <f aca="false">'FlowCal Raw'!E105</f>
        <v>0</v>
      </c>
      <c r="D105" s="142" t="n">
        <f aca="false">'FlowCal Raw'!F105</f>
        <v>0</v>
      </c>
      <c r="E105" s="81" t="n">
        <f aca="false">'FlowCal Raw'!I105</f>
        <v>14.8461738119843</v>
      </c>
      <c r="F105" s="81" t="n">
        <f aca="false">'FlowCal Raw'!J105</f>
        <v>76.9216287110442</v>
      </c>
      <c r="G105" s="154" t="n">
        <f aca="false">'FlowCal Raw'!DF105</f>
        <v>0</v>
      </c>
      <c r="H105" s="154" t="n">
        <f aca="false">'FlowCal Raw'!DG105</f>
        <v>0</v>
      </c>
      <c r="I105" s="154" t="n">
        <f aca="false">'FlowCal Raw'!DH105</f>
        <v>100</v>
      </c>
      <c r="J105" s="154" t="n">
        <f aca="false">'FlowCal Raw'!DI105</f>
        <v>0</v>
      </c>
      <c r="K105" s="154" t="n">
        <f aca="false">'FlowCal Raw'!DJ105</f>
        <v>0</v>
      </c>
      <c r="L105" s="154" t="n">
        <f aca="false">'FlowCal Raw'!DK105</f>
        <v>0</v>
      </c>
      <c r="M105" s="154" t="n">
        <f aca="false">'FlowCal Raw'!DL105</f>
        <v>0</v>
      </c>
      <c r="N105" s="154" t="n">
        <f aca="false">'FlowCal Raw'!DM105</f>
        <v>0</v>
      </c>
      <c r="O105" s="154" t="n">
        <f aca="false">'FlowCal Raw'!DN105</f>
        <v>0</v>
      </c>
      <c r="P105" s="154" t="n">
        <f aca="false">SUM('FlowCal Raw'!DO105:DT105)</f>
        <v>0</v>
      </c>
    </row>
    <row r="106" customFormat="false" ht="15.75" hidden="false" customHeight="true" outlineLevel="0" collapsed="false">
      <c r="A106" s="142" t="str">
        <f aca="false">'FlowCal Raw'!C106</f>
        <v>7.00.9</v>
      </c>
      <c r="B106" s="142" t="str">
        <f aca="false">'FlowCal Raw'!D106</f>
        <v>Pecos Plant LP Separator</v>
      </c>
      <c r="C106" s="142" t="n">
        <f aca="false">'FlowCal Raw'!E106</f>
        <v>126287.86</v>
      </c>
      <c r="D106" s="142" t="n">
        <f aca="false">'FlowCal Raw'!F106</f>
        <v>185516.87</v>
      </c>
      <c r="E106" s="81" t="n">
        <f aca="false">'FlowCal Raw'!I106</f>
        <v>155.179369278725</v>
      </c>
      <c r="F106" s="81" t="n">
        <f aca="false">'FlowCal Raw'!J106</f>
        <v>56.5311846989625</v>
      </c>
      <c r="G106" s="154" t="n">
        <f aca="false">'FlowCal Raw'!DF106</f>
        <v>0.105</v>
      </c>
      <c r="H106" s="154" t="n">
        <f aca="false">'FlowCal Raw'!DG106</f>
        <v>0.712</v>
      </c>
      <c r="I106" s="154" t="n">
        <f aca="false">'FlowCal Raw'!DH106</f>
        <v>66.654</v>
      </c>
      <c r="J106" s="154" t="n">
        <f aca="false">'FlowCal Raw'!DI106</f>
        <v>13.38</v>
      </c>
      <c r="K106" s="154" t="n">
        <f aca="false">'FlowCal Raw'!DJ106</f>
        <v>11.984</v>
      </c>
      <c r="L106" s="154" t="n">
        <f aca="false">'FlowCal Raw'!DK106</f>
        <v>1.662</v>
      </c>
      <c r="M106" s="154" t="n">
        <f aca="false">'FlowCal Raw'!DL106</f>
        <v>3.55</v>
      </c>
      <c r="N106" s="154" t="n">
        <f aca="false">'FlowCal Raw'!DM106</f>
        <v>0.715</v>
      </c>
      <c r="O106" s="154" t="n">
        <f aca="false">'FlowCal Raw'!DN106</f>
        <v>0.703</v>
      </c>
      <c r="P106" s="154" t="n">
        <f aca="false">SUM('FlowCal Raw'!DO106:DT106)</f>
        <v>0.535</v>
      </c>
    </row>
    <row r="107" customFormat="false" ht="15.75" hidden="false" customHeight="true" outlineLevel="0" collapsed="false">
      <c r="A107" s="142" t="str">
        <f aca="false">'FlowCal Raw'!C107</f>
        <v>8.00.10</v>
      </c>
      <c r="B107" s="142" t="str">
        <f aca="false">'FlowCal Raw'!D107</f>
        <v>Bluto Compressor Discharge</v>
      </c>
      <c r="C107" s="142" t="n">
        <f aca="false">'FlowCal Raw'!E107</f>
        <v>77194.55</v>
      </c>
      <c r="D107" s="142" t="n">
        <f aca="false">'FlowCal Raw'!F107</f>
        <v>94100.16</v>
      </c>
      <c r="E107" s="81" t="n">
        <f aca="false">'FlowCal Raw'!I107</f>
        <v>972.217909115106</v>
      </c>
      <c r="F107" s="81" t="n">
        <f aca="false">'FlowCal Raw'!J107</f>
        <v>91.3907269253312</v>
      </c>
      <c r="G107" s="154" t="n">
        <f aca="false">'FlowCal Raw'!DF107</f>
        <v>0.097</v>
      </c>
      <c r="H107" s="154" t="n">
        <f aca="false">'FlowCal Raw'!DG107</f>
        <v>0.852</v>
      </c>
      <c r="I107" s="154" t="n">
        <f aca="false">'FlowCal Raw'!DH107</f>
        <v>81.583</v>
      </c>
      <c r="J107" s="154" t="n">
        <f aca="false">'FlowCal Raw'!DI107</f>
        <v>10.665</v>
      </c>
      <c r="K107" s="154" t="n">
        <f aca="false">'FlowCal Raw'!DJ107</f>
        <v>3.944</v>
      </c>
      <c r="L107" s="154" t="n">
        <f aca="false">'FlowCal Raw'!DK107</f>
        <v>0.632</v>
      </c>
      <c r="M107" s="154" t="n">
        <f aca="false">'FlowCal Raw'!DL107</f>
        <v>1.129</v>
      </c>
      <c r="N107" s="154" t="n">
        <f aca="false">'FlowCal Raw'!DM107</f>
        <v>0.308</v>
      </c>
      <c r="O107" s="154" t="n">
        <f aca="false">'FlowCal Raw'!DN107</f>
        <v>0.317</v>
      </c>
      <c r="P107" s="154" t="n">
        <f aca="false">SUM('FlowCal Raw'!DO107:DT107)</f>
        <v>0.473</v>
      </c>
    </row>
    <row r="108" customFormat="false" ht="15.75" hidden="false" customHeight="true" outlineLevel="0" collapsed="false">
      <c r="A108" s="142" t="str">
        <f aca="false">'FlowCal Raw'!C108</f>
        <v>8.00.11</v>
      </c>
      <c r="B108" s="142" t="str">
        <f aca="false">'FlowCal Raw'!D108</f>
        <v>Cypress Compressor Discharge</v>
      </c>
      <c r="C108" s="142" t="n">
        <f aca="false">'FlowCal Raw'!E108</f>
        <v>699206.19</v>
      </c>
      <c r="D108" s="142" t="n">
        <f aca="false">'FlowCal Raw'!F108</f>
        <v>869113.29</v>
      </c>
      <c r="E108" s="81" t="n">
        <f aca="false">'FlowCal Raw'!I108</f>
        <v>1127.61348185421</v>
      </c>
      <c r="F108" s="81" t="n">
        <f aca="false">'FlowCal Raw'!J108</f>
        <v>102.753729330472</v>
      </c>
      <c r="G108" s="154" t="n">
        <f aca="false">'FlowCal Raw'!DF108</f>
        <v>0.33</v>
      </c>
      <c r="H108" s="154" t="n">
        <f aca="false">'FlowCal Raw'!DG108</f>
        <v>0.995</v>
      </c>
      <c r="I108" s="154" t="n">
        <f aca="false">'FlowCal Raw'!DH108</f>
        <v>79.627</v>
      </c>
      <c r="J108" s="154" t="n">
        <f aca="false">'FlowCal Raw'!DI108</f>
        <v>10.917</v>
      </c>
      <c r="K108" s="154" t="n">
        <f aca="false">'FlowCal Raw'!DJ108</f>
        <v>4.757</v>
      </c>
      <c r="L108" s="154" t="n">
        <f aca="false">'FlowCal Raw'!DK108</f>
        <v>0.662</v>
      </c>
      <c r="M108" s="154" t="n">
        <f aca="false">'FlowCal Raw'!DL108</f>
        <v>1.447</v>
      </c>
      <c r="N108" s="154" t="n">
        <f aca="false">'FlowCal Raw'!DM108</f>
        <v>0.339</v>
      </c>
      <c r="O108" s="154" t="n">
        <f aca="false">'FlowCal Raw'!DN108</f>
        <v>0.365</v>
      </c>
      <c r="P108" s="154" t="n">
        <f aca="false">SUM('FlowCal Raw'!DO108:DT108)</f>
        <v>0.561</v>
      </c>
    </row>
    <row r="109" customFormat="false" ht="15.75" hidden="false" customHeight="true" outlineLevel="0" collapsed="false">
      <c r="A109" s="142" t="str">
        <f aca="false">'FlowCal Raw'!C109</f>
        <v>8.00.13</v>
      </c>
      <c r="B109" s="142" t="str">
        <f aca="false">'FlowCal Raw'!D109</f>
        <v>Coyote Discharge</v>
      </c>
      <c r="C109" s="142" t="n">
        <f aca="false">'FlowCal Raw'!E109</f>
        <v>0</v>
      </c>
      <c r="D109" s="142" t="n">
        <f aca="false">'FlowCal Raw'!F109</f>
        <v>0</v>
      </c>
      <c r="E109" s="81" t="n">
        <f aca="false">'FlowCal Raw'!I109</f>
        <v>109.589854271181</v>
      </c>
      <c r="F109" s="81" t="n">
        <f aca="false">'FlowCal Raw'!J109</f>
        <v>78.0387204231754</v>
      </c>
      <c r="G109" s="154" t="n">
        <f aca="false">'FlowCal Raw'!DF109</f>
        <v>0.263</v>
      </c>
      <c r="H109" s="154" t="n">
        <f aca="false">'FlowCal Raw'!DG109</f>
        <v>0.657</v>
      </c>
      <c r="I109" s="154" t="n">
        <f aca="false">'FlowCal Raw'!DH109</f>
        <v>84.248</v>
      </c>
      <c r="J109" s="154" t="n">
        <f aca="false">'FlowCal Raw'!DI109</f>
        <v>8.16999999999999</v>
      </c>
      <c r="K109" s="154" t="n">
        <f aca="false">'FlowCal Raw'!DJ109</f>
        <v>4.034</v>
      </c>
      <c r="L109" s="154" t="n">
        <f aca="false">'FlowCal Raw'!DK109</f>
        <v>0.485</v>
      </c>
      <c r="M109" s="154" t="n">
        <f aca="false">'FlowCal Raw'!DL109</f>
        <v>1.223</v>
      </c>
      <c r="N109" s="154" t="n">
        <f aca="false">'FlowCal Raw'!DM109</f>
        <v>0.293</v>
      </c>
      <c r="O109" s="154" t="n">
        <f aca="false">'FlowCal Raw'!DN109</f>
        <v>0.334</v>
      </c>
      <c r="P109" s="154" t="n">
        <f aca="false">SUM('FlowCal Raw'!DO109:DT109)</f>
        <v>0.293</v>
      </c>
    </row>
    <row r="110" customFormat="false" ht="15.75" hidden="false" customHeight="true" outlineLevel="0" collapsed="false">
      <c r="A110" s="142" t="str">
        <f aca="false">'FlowCal Raw'!C110</f>
        <v>8.00.15</v>
      </c>
      <c r="B110" s="142" t="str">
        <f aca="false">'FlowCal Raw'!D110</f>
        <v>Nailed It A Compressor Discharge</v>
      </c>
      <c r="C110" s="142" t="n">
        <f aca="false">'FlowCal Raw'!E110</f>
        <v>482919.68</v>
      </c>
      <c r="D110" s="142" t="n">
        <f aca="false">'FlowCal Raw'!F110</f>
        <v>601235</v>
      </c>
      <c r="E110" s="81" t="n">
        <f aca="false">'FlowCal Raw'!I110</f>
        <v>1116.76432966196</v>
      </c>
      <c r="F110" s="81" t="n">
        <f aca="false">'FlowCal Raw'!J110</f>
        <v>123.618921565383</v>
      </c>
      <c r="G110" s="154" t="n">
        <f aca="false">'FlowCal Raw'!DF110</f>
        <v>0.169</v>
      </c>
      <c r="H110" s="154" t="n">
        <f aca="false">'FlowCal Raw'!DG110</f>
        <v>1.369</v>
      </c>
      <c r="I110" s="154" t="n">
        <f aca="false">'FlowCal Raw'!DH110</f>
        <v>79.224</v>
      </c>
      <c r="J110" s="154" t="n">
        <f aca="false">'FlowCal Raw'!DI110</f>
        <v>10.904</v>
      </c>
      <c r="K110" s="154" t="n">
        <f aca="false">'FlowCal Raw'!DJ110</f>
        <v>4.714</v>
      </c>
      <c r="L110" s="154" t="n">
        <f aca="false">'FlowCal Raw'!DK110</f>
        <v>0.747</v>
      </c>
      <c r="M110" s="154" t="n">
        <f aca="false">'FlowCal Raw'!DL110</f>
        <v>1.59</v>
      </c>
      <c r="N110" s="154" t="n">
        <f aca="false">'FlowCal Raw'!DM110</f>
        <v>0.395</v>
      </c>
      <c r="O110" s="154" t="n">
        <f aca="false">'FlowCal Raw'!DN110</f>
        <v>0.426</v>
      </c>
      <c r="P110" s="154" t="n">
        <f aca="false">SUM('FlowCal Raw'!DO110:DT110)</f>
        <v>0.462</v>
      </c>
    </row>
    <row r="111" customFormat="false" ht="15.75" hidden="false" customHeight="true" outlineLevel="0" collapsed="false">
      <c r="A111" s="142" t="str">
        <f aca="false">'FlowCal Raw'!C111</f>
        <v>8.00.16</v>
      </c>
      <c r="B111" s="142" t="str">
        <f aca="false">'FlowCal Raw'!D111</f>
        <v>Welcome to Golden Compressor Discharge</v>
      </c>
      <c r="C111" s="142" t="n">
        <f aca="false">'FlowCal Raw'!E111</f>
        <v>841995.11</v>
      </c>
      <c r="D111" s="142" t="n">
        <f aca="false">'FlowCal Raw'!F111</f>
        <v>1082805.71</v>
      </c>
      <c r="E111" s="81" t="n">
        <f aca="false">'FlowCal Raw'!I111</f>
        <v>1065.71177114399</v>
      </c>
      <c r="F111" s="81" t="n">
        <f aca="false">'FlowCal Raw'!J111</f>
        <v>112.985860632747</v>
      </c>
      <c r="G111" s="154" t="n">
        <f aca="false">'FlowCal Raw'!DF111</f>
        <v>0.135</v>
      </c>
      <c r="H111" s="154" t="n">
        <f aca="false">'FlowCal Raw'!DG111</f>
        <v>0.866</v>
      </c>
      <c r="I111" s="154" t="n">
        <f aca="false">'FlowCal Raw'!DH111</f>
        <v>78.175</v>
      </c>
      <c r="J111" s="154" t="n">
        <f aca="false">'FlowCal Raw'!DI111</f>
        <v>11.344</v>
      </c>
      <c r="K111" s="154" t="n">
        <f aca="false">'FlowCal Raw'!DJ111</f>
        <v>5.072</v>
      </c>
      <c r="L111" s="154" t="n">
        <f aca="false">'FlowCal Raw'!DK111</f>
        <v>0.771</v>
      </c>
      <c r="M111" s="154" t="n">
        <f aca="false">'FlowCal Raw'!DL111</f>
        <v>1.767</v>
      </c>
      <c r="N111" s="154" t="n">
        <f aca="false">'FlowCal Raw'!DM111</f>
        <v>0.506</v>
      </c>
      <c r="O111" s="154" t="n">
        <f aca="false">'FlowCal Raw'!DN111</f>
        <v>0.536</v>
      </c>
      <c r="P111" s="154" t="n">
        <f aca="false">SUM('FlowCal Raw'!DO111:DT111)</f>
        <v>0.828</v>
      </c>
    </row>
    <row r="112" customFormat="false" ht="15.75" hidden="false" customHeight="true" outlineLevel="0" collapsed="false">
      <c r="A112" s="142" t="str">
        <f aca="false">'FlowCal Raw'!C112</f>
        <v>8.00.18</v>
      </c>
      <c r="B112" s="142" t="str">
        <f aca="false">'FlowCal Raw'!D112</f>
        <v>Emma Compressor Discharge</v>
      </c>
      <c r="C112" s="142" t="n">
        <f aca="false">'FlowCal Raw'!E112</f>
        <v>59928.46</v>
      </c>
      <c r="D112" s="142" t="n">
        <f aca="false">'FlowCal Raw'!F112</f>
        <v>71374.8</v>
      </c>
      <c r="E112" s="81" t="n">
        <f aca="false">'FlowCal Raw'!I112</f>
        <v>1062.77140588604</v>
      </c>
      <c r="F112" s="81" t="n">
        <f aca="false">'FlowCal Raw'!J112</f>
        <v>93.2132081374826</v>
      </c>
      <c r="G112" s="154" t="n">
        <f aca="false">'FlowCal Raw'!DF112</f>
        <v>0.201</v>
      </c>
      <c r="H112" s="154" t="n">
        <f aca="false">'FlowCal Raw'!DG112</f>
        <v>0.621</v>
      </c>
      <c r="I112" s="154" t="n">
        <f aca="false">'FlowCal Raw'!DH112</f>
        <v>85.197</v>
      </c>
      <c r="J112" s="154" t="n">
        <f aca="false">'FlowCal Raw'!DI112</f>
        <v>7.579</v>
      </c>
      <c r="K112" s="154" t="n">
        <f aca="false">'FlowCal Raw'!DJ112</f>
        <v>3.581</v>
      </c>
      <c r="L112" s="154" t="n">
        <f aca="false">'FlowCal Raw'!DK112</f>
        <v>0.474</v>
      </c>
      <c r="M112" s="154" t="n">
        <f aca="false">'FlowCal Raw'!DL112</f>
        <v>1.188</v>
      </c>
      <c r="N112" s="154" t="n">
        <f aca="false">'FlowCal Raw'!DM112</f>
        <v>0.297</v>
      </c>
      <c r="O112" s="154" t="n">
        <f aca="false">'FlowCal Raw'!DN112</f>
        <v>0.35</v>
      </c>
      <c r="P112" s="154" t="n">
        <f aca="false">SUM('FlowCal Raw'!DO112:DT112)</f>
        <v>0.512</v>
      </c>
    </row>
    <row r="113" customFormat="false" ht="15.75" hidden="false" customHeight="true" outlineLevel="0" collapsed="false">
      <c r="A113" s="142" t="str">
        <f aca="false">'FlowCal Raw'!C113</f>
        <v>8.00.19</v>
      </c>
      <c r="B113" s="142" t="str">
        <f aca="false">'FlowCal Raw'!D113</f>
        <v>Oasis Compressor Discharge</v>
      </c>
      <c r="C113" s="142" t="n">
        <f aca="false">'FlowCal Raw'!E113</f>
        <v>513413.14</v>
      </c>
      <c r="D113" s="142" t="n">
        <f aca="false">'FlowCal Raw'!F113</f>
        <v>677191.93</v>
      </c>
      <c r="E113" s="81" t="n">
        <f aca="false">'FlowCal Raw'!I113</f>
        <v>1040.69803297412</v>
      </c>
      <c r="F113" s="81" t="n">
        <f aca="false">'FlowCal Raw'!J113</f>
        <v>98.2342894866821</v>
      </c>
      <c r="G113" s="154" t="n">
        <f aca="false">'FlowCal Raw'!DF113</f>
        <v>0.431</v>
      </c>
      <c r="H113" s="154" t="n">
        <f aca="false">'FlowCal Raw'!DG113</f>
        <v>1.382</v>
      </c>
      <c r="I113" s="154" t="n">
        <f aca="false">'FlowCal Raw'!DH113</f>
        <v>73.796</v>
      </c>
      <c r="J113" s="154" t="n">
        <f aca="false">'FlowCal Raw'!DI113</f>
        <v>11.963</v>
      </c>
      <c r="K113" s="154" t="n">
        <f aca="false">'FlowCal Raw'!DJ113</f>
        <v>7.671</v>
      </c>
      <c r="L113" s="154" t="n">
        <f aca="false">'FlowCal Raw'!DK113</f>
        <v>0.864</v>
      </c>
      <c r="M113" s="154" t="n">
        <f aca="false">'FlowCal Raw'!DL113</f>
        <v>2.603</v>
      </c>
      <c r="N113" s="154" t="n">
        <f aca="false">'FlowCal Raw'!DM113</f>
        <v>0.483</v>
      </c>
      <c r="O113" s="154" t="n">
        <f aca="false">'FlowCal Raw'!DN113</f>
        <v>0.509</v>
      </c>
      <c r="P113" s="154" t="n">
        <f aca="false">SUM('FlowCal Raw'!DO113:DT113)</f>
        <v>0.298</v>
      </c>
    </row>
    <row r="114" customFormat="false" ht="15.75" hidden="false" customHeight="true" outlineLevel="0" collapsed="false">
      <c r="A114" s="142" t="str">
        <f aca="false">'FlowCal Raw'!C114</f>
        <v>8.00.2</v>
      </c>
      <c r="B114" s="142" t="str">
        <f aca="false">'FlowCal Raw'!D114</f>
        <v>Pecos 1 Discharge</v>
      </c>
      <c r="C114" s="142" t="n">
        <f aca="false">'FlowCal Raw'!E114</f>
        <v>3465332.31</v>
      </c>
      <c r="D114" s="142" t="n">
        <f aca="false">'FlowCal Raw'!F114</f>
        <v>3565243.69</v>
      </c>
      <c r="E114" s="81" t="n">
        <f aca="false">'FlowCal Raw'!I114</f>
        <v>1187.52909330491</v>
      </c>
      <c r="F114" s="81" t="n">
        <f aca="false">'FlowCal Raw'!J114</f>
        <v>93.7465659005315</v>
      </c>
      <c r="G114" s="154" t="n">
        <f aca="false">'FlowCal Raw'!DF114</f>
        <v>0.0272778527518202</v>
      </c>
      <c r="H114" s="154" t="n">
        <f aca="false">'FlowCal Raw'!DG114</f>
        <v>1.02086752714395</v>
      </c>
      <c r="I114" s="154" t="n">
        <f aca="false">'FlowCal Raw'!DH114</f>
        <v>95.7473787792474</v>
      </c>
      <c r="J114" s="154" t="n">
        <f aca="false">'FlowCal Raw'!DI114</f>
        <v>3.1264529322299</v>
      </c>
      <c r="K114" s="154" t="n">
        <f aca="false">'FlowCal Raw'!DJ114</f>
        <v>0.0772557662189315</v>
      </c>
      <c r="L114" s="154" t="n">
        <f aca="false">'FlowCal Raw'!DK114</f>
        <v>0.000436208878247077</v>
      </c>
      <c r="M114" s="154" t="n">
        <f aca="false">'FlowCal Raw'!DL114</f>
        <v>0.000429226524226098</v>
      </c>
      <c r="N114" s="154" t="n">
        <f aca="false">'FlowCal Raw'!DM114</f>
        <v>0</v>
      </c>
      <c r="O114" s="154" t="n">
        <f aca="false">'FlowCal Raw'!DN114</f>
        <v>0</v>
      </c>
      <c r="P114" s="154" t="n">
        <f aca="false">SUM('FlowCal Raw'!DO114:DT114)</f>
        <v>6.39666306380367E-007</v>
      </c>
    </row>
    <row r="115" customFormat="false" ht="15.75" hidden="false" customHeight="true" outlineLevel="0" collapsed="false">
      <c r="A115" s="142" t="str">
        <f aca="false">'FlowCal Raw'!C115</f>
        <v>8.00.21</v>
      </c>
      <c r="B115" s="142" t="str">
        <f aca="false">'FlowCal Raw'!D115</f>
        <v>Cypress 33 B Discharge</v>
      </c>
      <c r="C115" s="142" t="n">
        <f aca="false">'FlowCal Raw'!E115</f>
        <v>459586.51</v>
      </c>
      <c r="D115" s="142" t="n">
        <f aca="false">'FlowCal Raw'!F115</f>
        <v>581836.52</v>
      </c>
      <c r="E115" s="81" t="n">
        <f aca="false">'FlowCal Raw'!I115</f>
        <v>1118.67756547789</v>
      </c>
      <c r="F115" s="81" t="n">
        <f aca="false">'FlowCal Raw'!J115</f>
        <v>91.2173696373963</v>
      </c>
      <c r="G115" s="154" t="n">
        <f aca="false">'FlowCal Raw'!DF115</f>
        <v>0.121</v>
      </c>
      <c r="H115" s="154" t="n">
        <f aca="false">'FlowCal Raw'!DG115</f>
        <v>0.839</v>
      </c>
      <c r="I115" s="154" t="n">
        <f aca="false">'FlowCal Raw'!DH115</f>
        <v>79.667</v>
      </c>
      <c r="J115" s="154" t="n">
        <f aca="false">'FlowCal Raw'!DI115</f>
        <v>10.619</v>
      </c>
      <c r="K115" s="154" t="n">
        <f aca="false">'FlowCal Raw'!DJ115</f>
        <v>4.586</v>
      </c>
      <c r="L115" s="154" t="n">
        <f aca="false">'FlowCal Raw'!DK115</f>
        <v>0.744</v>
      </c>
      <c r="M115" s="154" t="n">
        <f aca="false">'FlowCal Raw'!DL115</f>
        <v>1.639</v>
      </c>
      <c r="N115" s="154" t="n">
        <f aca="false">'FlowCal Raw'!DM115</f>
        <v>0.501</v>
      </c>
      <c r="O115" s="154" t="n">
        <f aca="false">'FlowCal Raw'!DN115</f>
        <v>0.572</v>
      </c>
      <c r="P115" s="154" t="n">
        <f aca="false">SUM('FlowCal Raw'!DO115:DT115)</f>
        <v>0.712</v>
      </c>
    </row>
    <row r="116" customFormat="false" ht="15.75" hidden="false" customHeight="true" outlineLevel="0" collapsed="false">
      <c r="A116" s="142" t="str">
        <f aca="false">'FlowCal Raw'!C116</f>
        <v>8.00.22</v>
      </c>
      <c r="B116" s="142" t="str">
        <f aca="false">'FlowCal Raw'!D116</f>
        <v>Lowe Compressor Discharge</v>
      </c>
      <c r="C116" s="142" t="n">
        <f aca="false">'FlowCal Raw'!E116</f>
        <v>473825.25</v>
      </c>
      <c r="D116" s="142" t="n">
        <f aca="false">'FlowCal Raw'!F116</f>
        <v>580435.93</v>
      </c>
      <c r="E116" s="81" t="n">
        <f aca="false">'FlowCal Raw'!I116</f>
        <v>974.662981559997</v>
      </c>
      <c r="F116" s="81" t="n">
        <f aca="false">'FlowCal Raw'!J116</f>
        <v>95.139966268086</v>
      </c>
      <c r="G116" s="154" t="n">
        <f aca="false">'FlowCal Raw'!DF116</f>
        <v>0.115</v>
      </c>
      <c r="H116" s="154" t="n">
        <f aca="false">'FlowCal Raw'!DG116</f>
        <v>0.897</v>
      </c>
      <c r="I116" s="154" t="n">
        <f aca="false">'FlowCal Raw'!DH116</f>
        <v>81.139</v>
      </c>
      <c r="J116" s="154" t="n">
        <f aca="false">'FlowCal Raw'!DI116</f>
        <v>10.651</v>
      </c>
      <c r="K116" s="154" t="n">
        <f aca="false">'FlowCal Raw'!DJ116</f>
        <v>4.127</v>
      </c>
      <c r="L116" s="154" t="n">
        <f aca="false">'FlowCal Raw'!DK116</f>
        <v>0.689</v>
      </c>
      <c r="M116" s="154" t="n">
        <f aca="false">'FlowCal Raw'!DL116</f>
        <v>1.286</v>
      </c>
      <c r="N116" s="154" t="n">
        <f aca="false">'FlowCal Raw'!DM116</f>
        <v>0.334</v>
      </c>
      <c r="O116" s="154" t="n">
        <f aca="false">'FlowCal Raw'!DN116</f>
        <v>0.349</v>
      </c>
      <c r="P116" s="154" t="n">
        <f aca="false">SUM('FlowCal Raw'!DO116:DT116)</f>
        <v>0.413</v>
      </c>
    </row>
    <row r="117" customFormat="false" ht="15.75" hidden="false" customHeight="true" outlineLevel="0" collapsed="false">
      <c r="A117" s="142" t="str">
        <f aca="false">'FlowCal Raw'!C117</f>
        <v>8.00.23</v>
      </c>
      <c r="B117" s="142" t="str">
        <f aca="false">'FlowCal Raw'!D117</f>
        <v>Tribute Compressor Discharge</v>
      </c>
      <c r="C117" s="142" t="n">
        <f aca="false">'FlowCal Raw'!E117</f>
        <v>984114.18</v>
      </c>
      <c r="D117" s="142" t="n">
        <f aca="false">'FlowCal Raw'!F117</f>
        <v>1268523.17</v>
      </c>
      <c r="E117" s="81" t="n">
        <f aca="false">'FlowCal Raw'!I117</f>
        <v>1030.35173974176</v>
      </c>
      <c r="F117" s="81" t="n">
        <f aca="false">'FlowCal Raw'!J117</f>
        <v>94.4513333438195</v>
      </c>
      <c r="G117" s="154" t="n">
        <f aca="false">'FlowCal Raw'!DF117</f>
        <v>0.146</v>
      </c>
      <c r="H117" s="154" t="n">
        <f aca="false">'FlowCal Raw'!DG117</f>
        <v>0.927</v>
      </c>
      <c r="I117" s="154" t="n">
        <f aca="false">'FlowCal Raw'!DH117</f>
        <v>77.414</v>
      </c>
      <c r="J117" s="154" t="n">
        <f aca="false">'FlowCal Raw'!DI117</f>
        <v>11.691</v>
      </c>
      <c r="K117" s="154" t="n">
        <f aca="false">'FlowCal Raw'!DJ117</f>
        <v>5.467</v>
      </c>
      <c r="L117" s="154" t="n">
        <f aca="false">'FlowCal Raw'!DK117</f>
        <v>0.797</v>
      </c>
      <c r="M117" s="154" t="n">
        <f aca="false">'FlowCal Raw'!DL117</f>
        <v>1.866</v>
      </c>
      <c r="N117" s="154" t="n">
        <f aca="false">'FlowCal Raw'!DM117</f>
        <v>0.491</v>
      </c>
      <c r="O117" s="154" t="n">
        <f aca="false">'FlowCal Raw'!DN117</f>
        <v>0.583</v>
      </c>
      <c r="P117" s="154" t="n">
        <f aca="false">SUM('FlowCal Raw'!DO117:DT117)</f>
        <v>0.618</v>
      </c>
    </row>
    <row r="118" customFormat="false" ht="15.75" hidden="false" customHeight="true" outlineLevel="0" collapsed="false">
      <c r="A118" s="142" t="str">
        <f aca="false">'FlowCal Raw'!C118</f>
        <v>8.00.3</v>
      </c>
      <c r="B118" s="142" t="str">
        <f aca="false">'FlowCal Raw'!D118</f>
        <v>University Discharge</v>
      </c>
      <c r="C118" s="142" t="n">
        <f aca="false">'FlowCal Raw'!E118</f>
        <v>39085.07</v>
      </c>
      <c r="D118" s="142" t="n">
        <f aca="false">'FlowCal Raw'!F118</f>
        <v>51670.46</v>
      </c>
      <c r="E118" s="81" t="n">
        <f aca="false">'FlowCal Raw'!I118</f>
        <v>1050.57580778481</v>
      </c>
      <c r="F118" s="81" t="n">
        <f aca="false">'FlowCal Raw'!J118</f>
        <v>100.461464189783</v>
      </c>
      <c r="G118" s="154" t="n">
        <f aca="false">'FlowCal Raw'!DF118</f>
        <v>0.308</v>
      </c>
      <c r="H118" s="154" t="n">
        <f aca="false">'FlowCal Raw'!DG118</f>
        <v>1.393</v>
      </c>
      <c r="I118" s="154" t="n">
        <f aca="false">'FlowCal Raw'!DH118</f>
        <v>72.849</v>
      </c>
      <c r="J118" s="154" t="n">
        <f aca="false">'FlowCal Raw'!DI118</f>
        <v>12.96</v>
      </c>
      <c r="K118" s="154" t="n">
        <f aca="false">'FlowCal Raw'!DJ118</f>
        <v>8.257</v>
      </c>
      <c r="L118" s="154" t="n">
        <f aca="false">'FlowCal Raw'!DK118</f>
        <v>0.836</v>
      </c>
      <c r="M118" s="154" t="n">
        <f aca="false">'FlowCal Raw'!DL118</f>
        <v>2.421</v>
      </c>
      <c r="N118" s="154" t="n">
        <f aca="false">'FlowCal Raw'!DM118</f>
        <v>0.377</v>
      </c>
      <c r="O118" s="154" t="n">
        <f aca="false">'FlowCal Raw'!DN118</f>
        <v>0.353</v>
      </c>
      <c r="P118" s="154" t="n">
        <f aca="false">SUM('FlowCal Raw'!DO118:DT118)</f>
        <v>0.246</v>
      </c>
    </row>
    <row r="119" customFormat="false" ht="15.75" hidden="false" customHeight="true" outlineLevel="0" collapsed="false">
      <c r="A119" s="142" t="str">
        <f aca="false">'FlowCal Raw'!C119</f>
        <v>8.00.5</v>
      </c>
      <c r="B119" s="142" t="str">
        <f aca="false">'FlowCal Raw'!D119</f>
        <v>Pecos 2 Discharge</v>
      </c>
      <c r="C119" s="142" t="n">
        <f aca="false">'FlowCal Raw'!E119</f>
        <v>3811549.47</v>
      </c>
      <c r="D119" s="142" t="n">
        <f aca="false">'FlowCal Raw'!F119</f>
        <v>3937855.59</v>
      </c>
      <c r="E119" s="81" t="n">
        <f aca="false">'FlowCal Raw'!I119</f>
        <v>1191.39889752709</v>
      </c>
      <c r="F119" s="81" t="n">
        <f aca="false">'FlowCal Raw'!J119</f>
        <v>98.9928665321854</v>
      </c>
      <c r="G119" s="154" t="n">
        <f aca="false">'FlowCal Raw'!DF119</f>
        <v>0.0479830404687859</v>
      </c>
      <c r="H119" s="154" t="n">
        <f aca="false">'FlowCal Raw'!DG119</f>
        <v>1.01775534871719</v>
      </c>
      <c r="I119" s="154" t="n">
        <f aca="false">'FlowCal Raw'!DH119</f>
        <v>95.1666524238812</v>
      </c>
      <c r="J119" s="154" t="n">
        <f aca="false">'FlowCal Raw'!DI119</f>
        <v>3.6684882196625</v>
      </c>
      <c r="K119" s="154" t="n">
        <f aca="false">'FlowCal Raw'!DJ119</f>
        <v>0.0978667168075088</v>
      </c>
      <c r="L119" s="154" t="n">
        <f aca="false">'FlowCal Raw'!DK119</f>
        <v>0.000669719154865331</v>
      </c>
      <c r="M119" s="154" t="n">
        <f aca="false">'FlowCal Raw'!DL119</f>
        <v>0.000583326904079348</v>
      </c>
      <c r="N119" s="154" t="n">
        <f aca="false">'FlowCal Raw'!DM119</f>
        <v>7.48022352751502E-007</v>
      </c>
      <c r="O119" s="154" t="n">
        <f aca="false">'FlowCal Raw'!DN119</f>
        <v>2.99208924779664E-007</v>
      </c>
      <c r="P119" s="154" t="n">
        <f aca="false">SUM('FlowCal Raw'!DO119:DT119)</f>
        <v>0</v>
      </c>
    </row>
    <row r="120" customFormat="false" ht="15.75" hidden="false" customHeight="true" outlineLevel="0" collapsed="false">
      <c r="A120" s="142" t="str">
        <f aca="false">'FlowCal Raw'!C120</f>
        <v>8.00.7</v>
      </c>
      <c r="B120" s="142" t="str">
        <f aca="false">'FlowCal Raw'!D120</f>
        <v>Pliny The Elder Compressor Discharge</v>
      </c>
      <c r="C120" s="142" t="n">
        <f aca="false">'FlowCal Raw'!E120</f>
        <v>270625.57</v>
      </c>
      <c r="D120" s="142" t="n">
        <f aca="false">'FlowCal Raw'!F120</f>
        <v>338281.96</v>
      </c>
      <c r="E120" s="81" t="n">
        <f aca="false">'FlowCal Raw'!I120</f>
        <v>1041.90986910223</v>
      </c>
      <c r="F120" s="81" t="n">
        <f aca="false">'FlowCal Raw'!J120</f>
        <v>111.845480905503</v>
      </c>
      <c r="G120" s="154" t="n">
        <f aca="false">'FlowCal Raw'!DF120</f>
        <v>0.103</v>
      </c>
      <c r="H120" s="154" t="n">
        <f aca="false">'FlowCal Raw'!DG120</f>
        <v>1.094</v>
      </c>
      <c r="I120" s="154" t="n">
        <f aca="false">'FlowCal Raw'!DH120</f>
        <v>79.774</v>
      </c>
      <c r="J120" s="154" t="n">
        <f aca="false">'FlowCal Raw'!DI120</f>
        <v>10.653</v>
      </c>
      <c r="K120" s="154" t="n">
        <f aca="false">'FlowCal Raw'!DJ120</f>
        <v>4.645</v>
      </c>
      <c r="L120" s="154" t="n">
        <f aca="false">'FlowCal Raw'!DK120</f>
        <v>0.751</v>
      </c>
      <c r="M120" s="154" t="n">
        <f aca="false">'FlowCal Raw'!DL120</f>
        <v>1.563</v>
      </c>
      <c r="N120" s="154" t="n">
        <f aca="false">'FlowCal Raw'!DM120</f>
        <v>0.445</v>
      </c>
      <c r="O120" s="154" t="n">
        <f aca="false">'FlowCal Raw'!DN120</f>
        <v>0.456</v>
      </c>
      <c r="P120" s="154" t="n">
        <f aca="false">SUM('FlowCal Raw'!DO120:DT120)</f>
        <v>0.516</v>
      </c>
    </row>
    <row r="121" customFormat="false" ht="15.75" hidden="false" customHeight="true" outlineLevel="0" collapsed="false">
      <c r="A121" s="142" t="str">
        <f aca="false">'FlowCal Raw'!C121</f>
        <v>CAL1</v>
      </c>
      <c r="B121" s="142" t="str">
        <f aca="false">'FlowCal Raw'!D121</f>
        <v>Cryo Fuel Usage</v>
      </c>
      <c r="C121" s="142" t="n">
        <f aca="false">'FlowCal Raw'!E121</f>
        <v>-294086.26</v>
      </c>
      <c r="D121" s="142" t="n">
        <f aca="false">'FlowCal Raw'!F121</f>
        <v>-298115.24</v>
      </c>
      <c r="E121" s="81" t="n">
        <f aca="false">'FlowCal Raw'!I121</f>
        <v>201.273416602033</v>
      </c>
      <c r="F121" s="81" t="n">
        <f aca="false">'FlowCal Raw'!J121</f>
        <v>81.8603988573354</v>
      </c>
      <c r="G121" s="154" t="n">
        <f aca="false">'FlowCal Raw'!DF121</f>
        <v>0.171152460399211</v>
      </c>
      <c r="H121" s="154" t="n">
        <f aca="false">'FlowCal Raw'!DG121</f>
        <v>1.30153152472313</v>
      </c>
      <c r="I121" s="154" t="n">
        <f aca="false">'FlowCal Raw'!DH121</f>
        <v>96.6818840468448</v>
      </c>
      <c r="J121" s="154" t="n">
        <f aca="false">'FlowCal Raw'!DI121</f>
        <v>1.82459852439613</v>
      </c>
      <c r="K121" s="154" t="n">
        <f aca="false">'FlowCal Raw'!DJ121</f>
        <v>0.149065920427107</v>
      </c>
      <c r="L121" s="154" t="n">
        <f aca="false">'FlowCal Raw'!DK121</f>
        <v>0.00920779990089266</v>
      </c>
      <c r="M121" s="154" t="n">
        <f aca="false">'FlowCal Raw'!DL121</f>
        <v>0.0133740398216068</v>
      </c>
      <c r="N121" s="154" t="n">
        <f aca="false">'FlowCal Raw'!DM121</f>
        <v>0</v>
      </c>
      <c r="O121" s="154" t="n">
        <f aca="false">'FlowCal Raw'!DN121</f>
        <v>0</v>
      </c>
      <c r="P121" s="154" t="n">
        <f aca="false">SUM('FlowCal Raw'!DO121:DT121)</f>
        <v>0</v>
      </c>
    </row>
    <row r="122" customFormat="false" ht="15.75" hidden="false" customHeight="true" outlineLevel="0" collapsed="false">
      <c r="A122" s="142" t="str">
        <f aca="false">'FlowCal Raw'!C122</f>
        <v>CAL2</v>
      </c>
      <c r="B122" s="142" t="str">
        <f aca="false">'FlowCal Raw'!D122</f>
        <v>BOP Fuel Usage</v>
      </c>
      <c r="C122" s="142" t="n">
        <f aca="false">'FlowCal Raw'!E122</f>
        <v>14056.53</v>
      </c>
      <c r="D122" s="142" t="n">
        <f aca="false">'FlowCal Raw'!F122</f>
        <v>14112.76</v>
      </c>
      <c r="E122" s="81" t="n">
        <f aca="false">'FlowCal Raw'!I122</f>
        <v>197.180525473108</v>
      </c>
      <c r="F122" s="81" t="n">
        <f aca="false">'FlowCal Raw'!J122</f>
        <v>78.2237987838409</v>
      </c>
      <c r="G122" s="154" t="n">
        <f aca="false">'FlowCal Raw'!DF122</f>
        <v>0</v>
      </c>
      <c r="H122" s="154" t="n">
        <f aca="false">'FlowCal Raw'!DG122</f>
        <v>1.099</v>
      </c>
      <c r="I122" s="154" t="n">
        <f aca="false">'FlowCal Raw'!DH122</f>
        <v>98.081</v>
      </c>
      <c r="J122" s="154" t="n">
        <f aca="false">'FlowCal Raw'!DI122</f>
        <v>0.775</v>
      </c>
      <c r="K122" s="154" t="n">
        <f aca="false">'FlowCal Raw'!DJ122</f>
        <v>0.045</v>
      </c>
      <c r="L122" s="154" t="n">
        <f aca="false">'FlowCal Raw'!DK122</f>
        <v>0</v>
      </c>
      <c r="M122" s="154" t="n">
        <f aca="false">'FlowCal Raw'!DL122</f>
        <v>0</v>
      </c>
      <c r="N122" s="154" t="n">
        <f aca="false">'FlowCal Raw'!DM122</f>
        <v>0</v>
      </c>
      <c r="O122" s="154" t="n">
        <f aca="false">'FlowCal Raw'!DN122</f>
        <v>0</v>
      </c>
      <c r="P122" s="154" t="n">
        <f aca="false">SUM('FlowCal Raw'!DO122:DT122)</f>
        <v>0</v>
      </c>
    </row>
    <row r="123" customFormat="false" ht="15.75" hidden="false" customHeight="true" outlineLevel="0" collapsed="false">
      <c r="A123" s="142" t="s">
        <v>161</v>
      </c>
      <c r="B123" s="142" t="s">
        <v>184</v>
      </c>
      <c r="C123" s="142" t="n">
        <v>0</v>
      </c>
      <c r="D123" s="142"/>
      <c r="E123" s="142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</row>
    <row r="124" customFormat="false" ht="15.75" hidden="false" customHeight="true" outlineLevel="0" collapsed="false">
      <c r="A124" s="142"/>
      <c r="B124" s="142"/>
      <c r="C124" s="142"/>
      <c r="D124" s="142"/>
      <c r="E124" s="142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</row>
    <row r="125" customFormat="false" ht="15.75" hidden="false" customHeight="true" outlineLevel="0" collapsed="false">
      <c r="A125" s="142"/>
      <c r="B125" s="142"/>
      <c r="C125" s="142"/>
      <c r="D125" s="142"/>
      <c r="E125" s="142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</row>
    <row r="126" customFormat="false" ht="15.75" hidden="false" customHeight="true" outlineLevel="0" collapsed="false">
      <c r="A126" s="142"/>
      <c r="B126" s="142"/>
      <c r="C126" s="142"/>
      <c r="D126" s="142"/>
      <c r="E126" s="142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</row>
    <row r="127" customFormat="false" ht="15.75" hidden="false" customHeight="true" outlineLevel="0" collapsed="false">
      <c r="A127" s="142"/>
      <c r="B127" s="142"/>
      <c r="C127" s="142"/>
      <c r="D127" s="142"/>
      <c r="E127" s="142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</row>
    <row r="128" customFormat="false" ht="15.75" hidden="false" customHeight="true" outlineLevel="0" collapsed="false">
      <c r="A128" s="142"/>
      <c r="B128" s="142"/>
      <c r="C128" s="142"/>
      <c r="D128" s="142"/>
      <c r="E128" s="142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</row>
    <row r="129" customFormat="false" ht="15.75" hidden="false" customHeight="true" outlineLevel="0" collapsed="false">
      <c r="A129" s="142"/>
      <c r="B129" s="142"/>
      <c r="C129" s="142"/>
      <c r="D129" s="142"/>
      <c r="E129" s="142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</row>
    <row r="130" customFormat="false" ht="15.75" hidden="false" customHeight="true" outlineLevel="0" collapsed="false">
      <c r="A130" s="142"/>
      <c r="B130" s="142"/>
      <c r="C130" s="142"/>
      <c r="D130" s="142"/>
      <c r="E130" s="142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</row>
    <row r="131" customFormat="false" ht="15.75" hidden="false" customHeight="true" outlineLevel="0" collapsed="false">
      <c r="A131" s="142"/>
      <c r="B131" s="142"/>
      <c r="C131" s="142"/>
      <c r="D131" s="142"/>
      <c r="E131" s="142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</row>
    <row r="132" customFormat="false" ht="15.75" hidden="false" customHeight="true" outlineLevel="0" collapsed="false">
      <c r="A132" s="142"/>
      <c r="B132" s="142"/>
      <c r="C132" s="142"/>
      <c r="D132" s="142"/>
      <c r="E132" s="142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</row>
    <row r="133" customFormat="false" ht="15.75" hidden="false" customHeight="true" outlineLevel="0" collapsed="false">
      <c r="A133" s="142"/>
      <c r="B133" s="142"/>
      <c r="C133" s="142"/>
      <c r="D133" s="142"/>
      <c r="E133" s="142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</row>
    <row r="134" customFormat="false" ht="15.75" hidden="false" customHeight="true" outlineLevel="0" collapsed="false">
      <c r="A134" s="142"/>
      <c r="B134" s="142"/>
      <c r="C134" s="142"/>
      <c r="D134" s="142"/>
      <c r="E134" s="142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</row>
    <row r="135" customFormat="false" ht="15.75" hidden="false" customHeight="true" outlineLevel="0" collapsed="false">
      <c r="A135" s="142"/>
      <c r="B135" s="142"/>
      <c r="C135" s="142"/>
      <c r="D135" s="142"/>
      <c r="E135" s="142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</row>
    <row r="136" customFormat="false" ht="15.75" hidden="false" customHeight="true" outlineLevel="0" collapsed="false">
      <c r="A136" s="142"/>
      <c r="B136" s="142"/>
      <c r="C136" s="142"/>
      <c r="D136" s="142"/>
      <c r="E136" s="142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</row>
    <row r="137" customFormat="false" ht="15.75" hidden="false" customHeight="true" outlineLevel="0" collapsed="false">
      <c r="A137" s="142"/>
      <c r="B137" s="142"/>
      <c r="C137" s="142"/>
      <c r="D137" s="142"/>
      <c r="E137" s="142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</row>
    <row r="138" customFormat="false" ht="15.75" hidden="false" customHeight="true" outlineLevel="0" collapsed="false">
      <c r="A138" s="142"/>
      <c r="B138" s="142"/>
      <c r="C138" s="142"/>
      <c r="D138" s="142"/>
      <c r="E138" s="142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</row>
    <row r="139" customFormat="false" ht="15.75" hidden="false" customHeight="true" outlineLevel="0" collapsed="false">
      <c r="A139" s="142"/>
      <c r="B139" s="142"/>
      <c r="C139" s="142"/>
      <c r="D139" s="142"/>
      <c r="E139" s="142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</row>
    <row r="140" customFormat="false" ht="15.75" hidden="false" customHeight="true" outlineLevel="0" collapsed="false">
      <c r="A140" s="142"/>
      <c r="B140" s="142"/>
      <c r="C140" s="142"/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</row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X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4.453125" defaultRowHeight="15" zeroHeight="false" outlineLevelRow="0" outlineLevelCol="0"/>
  <cols>
    <col collapsed="false" customWidth="true" hidden="false" outlineLevel="0" max="76" min="1" style="0" width="8.7"/>
  </cols>
  <sheetData>
    <row r="1" customFormat="false" ht="15" hidden="false" customHeight="false" outlineLevel="0" collapsed="false">
      <c r="A1" s="155"/>
      <c r="B1" s="156" t="s">
        <v>37</v>
      </c>
      <c r="C1" s="157" t="s">
        <v>38</v>
      </c>
      <c r="D1" s="157" t="s">
        <v>39</v>
      </c>
      <c r="E1" s="158" t="s">
        <v>40</v>
      </c>
      <c r="F1" s="158" t="s">
        <v>41</v>
      </c>
      <c r="G1" s="158" t="s">
        <v>42</v>
      </c>
      <c r="H1" s="158" t="s">
        <v>43</v>
      </c>
      <c r="I1" s="158" t="s">
        <v>44</v>
      </c>
      <c r="J1" s="158" t="s">
        <v>45</v>
      </c>
      <c r="K1" s="158" t="s">
        <v>46</v>
      </c>
      <c r="L1" s="158" t="s">
        <v>47</v>
      </c>
      <c r="M1" s="158" t="s">
        <v>48</v>
      </c>
      <c r="N1" s="158" t="s">
        <v>49</v>
      </c>
      <c r="O1" s="158" t="s">
        <v>50</v>
      </c>
      <c r="P1" s="158" t="s">
        <v>51</v>
      </c>
      <c r="Q1" s="158" t="s">
        <v>52</v>
      </c>
      <c r="R1" s="158" t="s">
        <v>53</v>
      </c>
      <c r="S1" s="158" t="s">
        <v>54</v>
      </c>
      <c r="T1" s="158" t="s">
        <v>55</v>
      </c>
      <c r="U1" s="158" t="s">
        <v>56</v>
      </c>
      <c r="V1" s="158" t="s">
        <v>57</v>
      </c>
      <c r="W1" s="158" t="s">
        <v>58</v>
      </c>
      <c r="X1" s="158" t="s">
        <v>59</v>
      </c>
      <c r="Y1" s="158" t="s">
        <v>60</v>
      </c>
      <c r="Z1" s="158" t="s">
        <v>61</v>
      </c>
      <c r="AA1" s="158" t="s">
        <v>62</v>
      </c>
      <c r="AB1" s="158" t="s">
        <v>9</v>
      </c>
      <c r="AC1" s="158" t="s">
        <v>63</v>
      </c>
      <c r="AD1" s="158" t="s">
        <v>64</v>
      </c>
      <c r="AE1" s="158" t="s">
        <v>65</v>
      </c>
      <c r="AF1" s="158" t="s">
        <v>66</v>
      </c>
      <c r="AG1" s="158" t="s">
        <v>67</v>
      </c>
      <c r="AH1" s="158" t="s">
        <v>11</v>
      </c>
      <c r="AI1" s="158" t="s">
        <v>12</v>
      </c>
      <c r="AJ1" s="158" t="s">
        <v>13</v>
      </c>
      <c r="AK1" s="158" t="s">
        <v>68</v>
      </c>
      <c r="AL1" s="158" t="s">
        <v>69</v>
      </c>
      <c r="AM1" s="158" t="s">
        <v>70</v>
      </c>
      <c r="AN1" s="158" t="s">
        <v>71</v>
      </c>
      <c r="AO1" s="158" t="s">
        <v>72</v>
      </c>
      <c r="AP1" s="158" t="s">
        <v>73</v>
      </c>
      <c r="AQ1" s="158" t="s">
        <v>74</v>
      </c>
      <c r="AR1" s="158" t="s">
        <v>75</v>
      </c>
      <c r="AS1" s="158" t="s">
        <v>76</v>
      </c>
      <c r="AT1" s="158" t="s">
        <v>77</v>
      </c>
      <c r="AU1" s="158" t="s">
        <v>78</v>
      </c>
      <c r="AV1" s="158" t="s">
        <v>79</v>
      </c>
      <c r="AW1" s="158" t="s">
        <v>80</v>
      </c>
      <c r="AX1" s="158" t="s">
        <v>14</v>
      </c>
      <c r="AY1" s="158" t="s">
        <v>81</v>
      </c>
      <c r="AZ1" s="158" t="s">
        <v>15</v>
      </c>
      <c r="BA1" s="158" t="s">
        <v>82</v>
      </c>
      <c r="BB1" s="158" t="s">
        <v>83</v>
      </c>
      <c r="BC1" s="158" t="s">
        <v>84</v>
      </c>
      <c r="BD1" s="158" t="s">
        <v>85</v>
      </c>
      <c r="BE1" s="158" t="s">
        <v>86</v>
      </c>
      <c r="BF1" s="158" t="s">
        <v>87</v>
      </c>
      <c r="BG1" s="158" t="s">
        <v>22</v>
      </c>
      <c r="BH1" s="158" t="s">
        <v>23</v>
      </c>
      <c r="BI1" s="158" t="n">
        <v>0</v>
      </c>
      <c r="BJ1" s="158" t="n">
        <v>0</v>
      </c>
      <c r="BK1" s="158" t="n">
        <v>0</v>
      </c>
      <c r="BL1" s="158" t="n">
        <v>0</v>
      </c>
      <c r="BM1" s="158" t="n">
        <v>0</v>
      </c>
      <c r="BN1" s="158" t="n">
        <v>0</v>
      </c>
      <c r="BO1" s="158" t="n">
        <v>0</v>
      </c>
      <c r="BP1" s="158" t="n">
        <v>0</v>
      </c>
      <c r="BQ1" s="158" t="n">
        <v>0</v>
      </c>
      <c r="BR1" s="158" t="n">
        <v>0</v>
      </c>
      <c r="BS1" s="158" t="n">
        <v>0</v>
      </c>
      <c r="BT1" s="158" t="n">
        <v>0</v>
      </c>
      <c r="BU1" s="158" t="n">
        <v>0</v>
      </c>
      <c r="BV1" s="158" t="n">
        <v>0</v>
      </c>
      <c r="BW1" s="158" t="n">
        <v>0</v>
      </c>
      <c r="BX1" s="159" t="n">
        <v>0</v>
      </c>
    </row>
    <row r="2" customFormat="false" ht="15" hidden="false" customHeight="false" outlineLevel="0" collapsed="false">
      <c r="A2" s="160" t="n">
        <v>2</v>
      </c>
      <c r="B2" s="161" t="n">
        <v>27.5263461867323</v>
      </c>
      <c r="C2" s="162" t="n">
        <v>-1.48503561129669</v>
      </c>
      <c r="D2" s="162" t="n">
        <v>13.9428052323503</v>
      </c>
      <c r="E2" s="162" t="n">
        <v>-30.1736114183915</v>
      </c>
      <c r="F2" s="162" t="n">
        <v>15.5853912795818</v>
      </c>
      <c r="G2" s="162" t="n">
        <v>5.19865408192994</v>
      </c>
      <c r="H2" s="162" t="n">
        <v>23.8762862688419</v>
      </c>
      <c r="I2" s="162" t="n">
        <v>4.03730535918048</v>
      </c>
      <c r="J2" s="162" t="n">
        <v>13.7570978707476</v>
      </c>
      <c r="K2" s="162" t="n">
        <v>33.1747328096561</v>
      </c>
      <c r="L2" s="162" t="n">
        <v>8.59116644146675</v>
      </c>
      <c r="M2" s="162" t="n">
        <v>8.59395621541087</v>
      </c>
      <c r="N2" s="162" t="n">
        <v>6.43912231527745</v>
      </c>
      <c r="O2" s="162" t="n">
        <v>6.29812227220071</v>
      </c>
      <c r="P2" s="162" t="n">
        <v>6.59502574398536</v>
      </c>
      <c r="Q2" s="162" t="n">
        <v>11.1525386141754</v>
      </c>
      <c r="R2" s="162" t="n">
        <v>-2.8777490498535</v>
      </c>
      <c r="S2" s="162" t="n">
        <v>-2.8777490498535</v>
      </c>
      <c r="T2" s="162" t="n">
        <v>1.20711194741815</v>
      </c>
      <c r="U2" s="162" t="n">
        <v>0.652681285271267</v>
      </c>
      <c r="V2" s="162" t="n">
        <v>5.29001503040234</v>
      </c>
      <c r="W2" s="162" t="n">
        <v>2.83814994216612</v>
      </c>
      <c r="X2" s="162" t="n">
        <v>6.09898999765342</v>
      </c>
      <c r="Y2" s="162" t="n">
        <v>35.4744688516356</v>
      </c>
      <c r="Z2" s="162" t="n">
        <v>46.718256104792</v>
      </c>
      <c r="AA2" s="162" t="n">
        <v>115.602506512312</v>
      </c>
      <c r="AB2" s="162" t="n">
        <v>27.1858150280427</v>
      </c>
      <c r="AC2" s="162" t="n">
        <v>18.9533404342952</v>
      </c>
      <c r="AD2" s="162" t="n">
        <v>18.9533404342952</v>
      </c>
      <c r="AE2" s="162" t="n">
        <v>25.8556705986807</v>
      </c>
      <c r="AF2" s="162" t="n">
        <v>20.3154113897553</v>
      </c>
      <c r="AG2" s="162" t="n">
        <v>22.3597993003647</v>
      </c>
      <c r="AH2" s="162" t="n">
        <v>11.7699506031324</v>
      </c>
      <c r="AI2" s="162" t="n">
        <v>28.154798124454</v>
      </c>
      <c r="AJ2" s="162" t="n">
        <v>28.154798124454</v>
      </c>
      <c r="AK2" s="162" t="n">
        <v>7.64057119889613</v>
      </c>
      <c r="AL2" s="162" t="n">
        <v>11.6758352913971</v>
      </c>
      <c r="AM2" s="162" t="n">
        <v>10.7943835809072</v>
      </c>
      <c r="AN2" s="162" t="n">
        <v>27.8386361675313</v>
      </c>
      <c r="AO2" s="162" t="n">
        <v>3.79298460932293</v>
      </c>
      <c r="AP2" s="162" t="n">
        <v>3.79298460932293</v>
      </c>
      <c r="AQ2" s="162" t="n">
        <v>-1.15997068556715</v>
      </c>
      <c r="AR2" s="162" t="n">
        <v>16.687508615504</v>
      </c>
      <c r="AS2" s="162" t="n">
        <v>22.6107323389735</v>
      </c>
      <c r="AT2" s="162" t="n">
        <v>7.3524055113003</v>
      </c>
      <c r="AU2" s="162" t="n">
        <v>23.3637523672477</v>
      </c>
      <c r="AV2" s="162" t="n">
        <v>0.685262813730706</v>
      </c>
      <c r="AW2" s="162" t="n">
        <v>-272.891694911383</v>
      </c>
      <c r="AX2" s="162" t="n">
        <v>3.42491406940777</v>
      </c>
      <c r="AY2" s="162" t="n">
        <v>28.8208712221368</v>
      </c>
      <c r="AZ2" s="162" t="n">
        <v>52.7917428374757</v>
      </c>
      <c r="BA2" s="162" t="n">
        <v>14.9594629860563</v>
      </c>
      <c r="BB2" s="162" t="n">
        <v>15.546196099996</v>
      </c>
      <c r="BC2" s="162" t="n">
        <v>47.3770040317524</v>
      </c>
      <c r="BD2" s="162" t="n">
        <v>36.8506581681642</v>
      </c>
      <c r="BE2" s="162" t="n">
        <v>115.602506512312</v>
      </c>
      <c r="BF2" s="162" t="n">
        <v>10.9708179186534</v>
      </c>
      <c r="BG2" s="162" t="n">
        <v>33.3416549274687</v>
      </c>
      <c r="BH2" s="162" t="n">
        <v>35.3143468950266</v>
      </c>
      <c r="BI2" s="162" t="n">
        <v>115.602506512312</v>
      </c>
      <c r="BJ2" s="162"/>
      <c r="BK2" s="162"/>
      <c r="BL2" s="162"/>
      <c r="BM2" s="162"/>
      <c r="BN2" s="162"/>
      <c r="BO2" s="162"/>
      <c r="BP2" s="162"/>
      <c r="BQ2" s="162"/>
      <c r="BR2" s="162"/>
      <c r="BS2" s="162"/>
      <c r="BT2" s="162"/>
      <c r="BU2" s="162"/>
      <c r="BV2" s="162"/>
      <c r="BW2" s="162"/>
      <c r="BX2" s="163"/>
    </row>
    <row r="3" customFormat="false" ht="15" hidden="false" customHeight="false" outlineLevel="0" collapsed="false">
      <c r="A3" s="160" t="n">
        <v>3</v>
      </c>
      <c r="B3" s="164" t="n">
        <v>51.7807961848802</v>
      </c>
      <c r="C3" s="15" t="n">
        <v>19.7467300967809</v>
      </c>
      <c r="D3" s="15" t="n">
        <v>37.018714506595</v>
      </c>
      <c r="E3" s="15" t="n">
        <v>-10.8576501675383</v>
      </c>
      <c r="F3" s="15" t="n">
        <v>38.8769508163164</v>
      </c>
      <c r="G3" s="15" t="n">
        <v>27.4176199136585</v>
      </c>
      <c r="H3" s="15" t="n">
        <v>48.1362166149865</v>
      </c>
      <c r="I3" s="15" t="n">
        <v>26.1980745089373</v>
      </c>
      <c r="J3" s="15" t="n">
        <v>36.7850639074932</v>
      </c>
      <c r="K3" s="15" t="n">
        <v>58.4431957283275</v>
      </c>
      <c r="L3" s="15" t="n">
        <v>31.6415921963443</v>
      </c>
      <c r="M3" s="15" t="n">
        <v>31.6446092211857</v>
      </c>
      <c r="N3" s="15" t="n">
        <v>28.9322574067951</v>
      </c>
      <c r="O3" s="15" t="n">
        <v>28.7763007463316</v>
      </c>
      <c r="P3" s="15" t="n">
        <v>29.1479722722943</v>
      </c>
      <c r="Q3" s="15" t="n">
        <v>34.6797410469028</v>
      </c>
      <c r="R3" s="15" t="n">
        <v>18.7028879009775</v>
      </c>
      <c r="S3" s="15" t="n">
        <v>18.7028879009775</v>
      </c>
      <c r="T3" s="15" t="n">
        <v>23.2190679795774</v>
      </c>
      <c r="U3" s="15" t="n">
        <v>22.6193161929268</v>
      </c>
      <c r="V3" s="15" t="n">
        <v>27.948200294893</v>
      </c>
      <c r="W3" s="15" t="n">
        <v>25.1696109635456</v>
      </c>
      <c r="X3" s="15" t="n">
        <v>28.1262420108099</v>
      </c>
      <c r="Y3" s="15" t="n">
        <v>61.5814383911376</v>
      </c>
      <c r="Z3" s="15" t="n">
        <v>75.05792041742</v>
      </c>
      <c r="AA3" s="15" t="n">
        <v>155.160327474673</v>
      </c>
      <c r="AB3" s="15" t="n">
        <v>51.8669093336282</v>
      </c>
      <c r="AC3" s="15" t="n">
        <v>42.7799496167968</v>
      </c>
      <c r="AD3" s="15" t="n">
        <v>42.7799496167968</v>
      </c>
      <c r="AE3" s="15" t="n">
        <v>50.7103406895575</v>
      </c>
      <c r="AF3" s="15" t="n">
        <v>44.2188556850224</v>
      </c>
      <c r="AG3" s="15" t="n">
        <v>46.4479875266704</v>
      </c>
      <c r="AH3" s="15" t="n">
        <v>34.7277248613082</v>
      </c>
      <c r="AI3" s="15" t="n">
        <v>52.996303875647</v>
      </c>
      <c r="AJ3" s="15" t="n">
        <v>52.996303875647</v>
      </c>
      <c r="AK3" s="15" t="n">
        <v>30.3758425381926</v>
      </c>
      <c r="AL3" s="15" t="n">
        <v>34.9221219608181</v>
      </c>
      <c r="AM3" s="15" t="n">
        <v>33.4437876822177</v>
      </c>
      <c r="AN3" s="15" t="n">
        <v>52.2142534439697</v>
      </c>
      <c r="AO3" s="15" t="n">
        <v>25.6060563996089</v>
      </c>
      <c r="AP3" s="15" t="n">
        <v>25.6060563996089</v>
      </c>
      <c r="AQ3" s="15" t="n">
        <v>20.546928235073</v>
      </c>
      <c r="AR3" s="15" t="n">
        <v>39.9022976103517</v>
      </c>
      <c r="AS3" s="15" t="n">
        <v>46.4261112090359</v>
      </c>
      <c r="AT3" s="15" t="n">
        <v>29.8851210457151</v>
      </c>
      <c r="AU3" s="15" t="n">
        <v>47.6291545875456</v>
      </c>
      <c r="AV3" s="15" t="n">
        <v>24.1019696076372</v>
      </c>
      <c r="AW3" s="15" t="n">
        <v>-257.623093240815</v>
      </c>
      <c r="AX3" s="15" t="n">
        <v>25.6537471136868</v>
      </c>
      <c r="AY3" s="15" t="n">
        <v>54.3695761315302</v>
      </c>
      <c r="AZ3" s="15" t="n">
        <v>81.0619145284343</v>
      </c>
      <c r="BA3" s="15" t="n">
        <v>39.6116782070591</v>
      </c>
      <c r="BB3" s="15" t="n">
        <v>39.890979137001</v>
      </c>
      <c r="BC3" s="15" t="n">
        <v>74.8765239394531</v>
      </c>
      <c r="BD3" s="15" t="n">
        <v>62.761550626179</v>
      </c>
      <c r="BE3" s="15" t="n">
        <v>155.160327474673</v>
      </c>
      <c r="BF3" s="15" t="n">
        <v>34.3769366604805</v>
      </c>
      <c r="BG3" s="15" t="n">
        <v>59.0649786257245</v>
      </c>
      <c r="BH3" s="15" t="n">
        <v>61.2230939173445</v>
      </c>
      <c r="BI3" s="15" t="n">
        <v>155.160327474673</v>
      </c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65"/>
    </row>
    <row r="4" customFormat="false" ht="15" hidden="false" customHeight="false" outlineLevel="0" collapsed="false">
      <c r="A4" s="160" t="n">
        <v>4</v>
      </c>
      <c r="B4" s="164" t="n">
        <v>76.8863082479677</v>
      </c>
      <c r="C4" s="15" t="n">
        <v>41.9086096996587</v>
      </c>
      <c r="D4" s="15" t="n">
        <v>60.8519068879091</v>
      </c>
      <c r="E4" s="15" t="n">
        <v>9.47162624723219</v>
      </c>
      <c r="F4" s="15" t="n">
        <v>62.961933804093</v>
      </c>
      <c r="G4" s="15" t="n">
        <v>50.2996846060238</v>
      </c>
      <c r="H4" s="15" t="n">
        <v>73.3287327852455</v>
      </c>
      <c r="I4" s="15" t="n">
        <v>49.0372947636423</v>
      </c>
      <c r="J4" s="15" t="n">
        <v>60.5586036679342</v>
      </c>
      <c r="K4" s="15" t="n">
        <v>84.777455434906</v>
      </c>
      <c r="L4" s="15" t="n">
        <v>55.583506404902</v>
      </c>
      <c r="M4" s="15" t="n">
        <v>55.5867637623118</v>
      </c>
      <c r="N4" s="15" t="n">
        <v>52.1584040383192</v>
      </c>
      <c r="O4" s="15" t="n">
        <v>51.9855588260099</v>
      </c>
      <c r="P4" s="15" t="n">
        <v>52.4514872242684</v>
      </c>
      <c r="Q4" s="15" t="n">
        <v>59.1719388722883</v>
      </c>
      <c r="R4" s="15" t="n">
        <v>41.4329135402195</v>
      </c>
      <c r="S4" s="15" t="n">
        <v>41.4329135402195</v>
      </c>
      <c r="T4" s="15" t="n">
        <v>45.9177821595594</v>
      </c>
      <c r="U4" s="15" t="n">
        <v>45.795484351881</v>
      </c>
      <c r="V4" s="15" t="n">
        <v>51.4252834672366</v>
      </c>
      <c r="W4" s="15" t="n">
        <v>48.2710437137328</v>
      </c>
      <c r="X4" s="15" t="n">
        <v>51.1825839394111</v>
      </c>
      <c r="Y4" s="15" t="n">
        <v>88.9617229968206</v>
      </c>
      <c r="Z4" s="15" t="n">
        <v>105.077022860553</v>
      </c>
      <c r="AA4" s="15" t="n">
        <v>197.407991849727</v>
      </c>
      <c r="AB4" s="15" t="n">
        <v>77.55029201697</v>
      </c>
      <c r="AC4" s="15" t="n">
        <v>67.5090964129402</v>
      </c>
      <c r="AD4" s="15" t="n">
        <v>67.5090964129402</v>
      </c>
      <c r="AE4" s="15" t="n">
        <v>76.6467483136045</v>
      </c>
      <c r="AF4" s="15" t="n">
        <v>69.0186224617177</v>
      </c>
      <c r="AG4" s="15" t="n">
        <v>71.4526008088758</v>
      </c>
      <c r="AH4" s="15" t="n">
        <v>58.4569684893516</v>
      </c>
      <c r="AI4" s="15" t="n">
        <v>78.8696486794774</v>
      </c>
      <c r="AJ4" s="15" t="n">
        <v>78.8696486794774</v>
      </c>
      <c r="AK4" s="15" t="n">
        <v>53.9054963880409</v>
      </c>
      <c r="AL4" s="15" t="n">
        <v>59.0411725869514</v>
      </c>
      <c r="AM4" s="15" t="n">
        <v>56.7735506413747</v>
      </c>
      <c r="AN4" s="15" t="n">
        <v>77.4827778038423</v>
      </c>
      <c r="AO4" s="15" t="n">
        <v>48.4215423968934</v>
      </c>
      <c r="AP4" s="15" t="n">
        <v>48.4215423968934</v>
      </c>
      <c r="AQ4" s="15" t="n">
        <v>43.3968363874786</v>
      </c>
      <c r="AR4" s="15" t="n">
        <v>63.8762828456987</v>
      </c>
      <c r="AS4" s="15" t="n">
        <v>71.0761360783413</v>
      </c>
      <c r="AT4" s="15" t="n">
        <v>53.6529601063122</v>
      </c>
      <c r="AU4" s="15" t="n">
        <v>72.8661789488299</v>
      </c>
      <c r="AV4" s="15" t="n">
        <v>48.7294877608378</v>
      </c>
      <c r="AW4" s="15" t="n">
        <v>-232.639648710481</v>
      </c>
      <c r="AX4" s="15" t="n">
        <v>48.5972230578896</v>
      </c>
      <c r="AY4" s="15" t="n">
        <v>81.1517425723087</v>
      </c>
      <c r="AZ4" s="15" t="n">
        <v>110.873347684921</v>
      </c>
      <c r="BA4" s="15" t="n">
        <v>65.5391677045863</v>
      </c>
      <c r="BB4" s="15" t="n">
        <v>65.3928571318147</v>
      </c>
      <c r="BC4" s="15" t="n">
        <v>103.802704233094</v>
      </c>
      <c r="BD4" s="15" t="n">
        <v>89.8732023420252</v>
      </c>
      <c r="BE4" s="15" t="n">
        <v>197.407991849727</v>
      </c>
      <c r="BF4" s="15" t="n">
        <v>58.7293792931591</v>
      </c>
      <c r="BG4" s="15" t="n">
        <v>85.9628792807913</v>
      </c>
      <c r="BH4" s="15" t="n">
        <v>88.3379614470488</v>
      </c>
      <c r="BI4" s="15" t="n">
        <v>197.407991849727</v>
      </c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65"/>
    </row>
    <row r="5" customFormat="false" ht="15" hidden="false" customHeight="false" outlineLevel="0" collapsed="false">
      <c r="A5" s="160" t="n">
        <v>5</v>
      </c>
      <c r="B5" s="164" t="n">
        <v>100.868725698826</v>
      </c>
      <c r="C5" s="15" t="n">
        <v>62.3931065035883</v>
      </c>
      <c r="D5" s="15" t="n">
        <v>83.4805267781511</v>
      </c>
      <c r="E5" s="15" t="n">
        <v>28.2831371670105</v>
      </c>
      <c r="F5" s="15" t="n">
        <v>85.887097500492</v>
      </c>
      <c r="G5" s="15" t="n">
        <v>71.8804431137283</v>
      </c>
      <c r="H5" s="15" t="n">
        <v>97.5229886870072</v>
      </c>
      <c r="I5" s="15" t="n">
        <v>70.6097769809239</v>
      </c>
      <c r="J5" s="15" t="n">
        <v>83.1118407891839</v>
      </c>
      <c r="K5" s="15" t="n">
        <v>110.26845968121</v>
      </c>
      <c r="L5" s="15" t="n">
        <v>78.5429020224699</v>
      </c>
      <c r="M5" s="15" t="n">
        <v>78.546405831332</v>
      </c>
      <c r="N5" s="15" t="n">
        <v>74.1791836363218</v>
      </c>
      <c r="O5" s="15" t="n">
        <v>73.9872941136049</v>
      </c>
      <c r="P5" s="15" t="n">
        <v>74.5741228165843</v>
      </c>
      <c r="Q5" s="15" t="n">
        <v>82.7614890705276</v>
      </c>
      <c r="R5" s="15" t="n">
        <v>62.7125802952862</v>
      </c>
      <c r="S5" s="15" t="n">
        <v>62.7125802952862</v>
      </c>
      <c r="T5" s="15" t="n">
        <v>67.3673436859361</v>
      </c>
      <c r="U5" s="15" t="n">
        <v>67.580535398618</v>
      </c>
      <c r="V5" s="15" t="n">
        <v>73.8249808396494</v>
      </c>
      <c r="W5" s="15" t="n">
        <v>70.2405344450071</v>
      </c>
      <c r="X5" s="15" t="n">
        <v>72.6933700272146</v>
      </c>
      <c r="Y5" s="15" t="n">
        <v>115.756415151653</v>
      </c>
      <c r="Z5" s="15" t="n">
        <v>134.954057473478</v>
      </c>
      <c r="AA5" s="15" t="n">
        <v>239.868815624599</v>
      </c>
      <c r="AB5" s="15" t="n">
        <v>102.322077538348</v>
      </c>
      <c r="AC5" s="15" t="n">
        <v>91.220683919936</v>
      </c>
      <c r="AD5" s="15" t="n">
        <v>91.220683919936</v>
      </c>
      <c r="AE5" s="15" t="n">
        <v>101.779276337813</v>
      </c>
      <c r="AF5" s="15" t="n">
        <v>92.7859953009932</v>
      </c>
      <c r="AG5" s="15" t="n">
        <v>95.4481667231721</v>
      </c>
      <c r="AH5" s="15" t="n">
        <v>81.014443508386</v>
      </c>
      <c r="AI5" s="15" t="n">
        <v>103.866905325051</v>
      </c>
      <c r="AJ5" s="15" t="n">
        <v>103.866905325051</v>
      </c>
      <c r="AK5" s="15" t="n">
        <v>76.3168850069894</v>
      </c>
      <c r="AL5" s="15" t="n">
        <v>82.1312518069812</v>
      </c>
      <c r="AM5" s="15" t="n">
        <v>78.8009430317111</v>
      </c>
      <c r="AN5" s="15" t="n">
        <v>101.69244522292</v>
      </c>
      <c r="AO5" s="15" t="n">
        <v>69.6682441881391</v>
      </c>
      <c r="AP5" s="15" t="n">
        <v>69.6682441881391</v>
      </c>
      <c r="AQ5" s="15" t="n">
        <v>64.8114470357343</v>
      </c>
      <c r="AR5" s="15" t="n">
        <v>86.6492880939564</v>
      </c>
      <c r="AS5" s="15" t="n">
        <v>94.6141104667079</v>
      </c>
      <c r="AT5" s="15" t="n">
        <v>76.0958241487648</v>
      </c>
      <c r="AU5" s="15" t="n">
        <v>97.1821612257258</v>
      </c>
      <c r="AV5" s="15" t="n">
        <v>72.8490327651968</v>
      </c>
      <c r="AW5" s="15" t="n">
        <v>-200.447719373066</v>
      </c>
      <c r="AX5" s="15" t="n">
        <v>70.3263121498813</v>
      </c>
      <c r="AY5" s="15" t="n">
        <v>107.314651433046</v>
      </c>
      <c r="AZ5" s="15" t="n">
        <v>140.35748533779</v>
      </c>
      <c r="BA5" s="15" t="n">
        <v>90.9737246191743</v>
      </c>
      <c r="BB5" s="15" t="n">
        <v>90.2414785624653</v>
      </c>
      <c r="BC5" s="15" t="n">
        <v>132.278717128228</v>
      </c>
      <c r="BD5" s="15" t="n">
        <v>116.315473645867</v>
      </c>
      <c r="BE5" s="15" t="n">
        <v>239.868815624599</v>
      </c>
      <c r="BF5" s="15" t="n">
        <v>82.1607615132301</v>
      </c>
      <c r="BG5" s="15" t="n">
        <v>112.135235068952</v>
      </c>
      <c r="BH5" s="15" t="n">
        <v>114.773471165618</v>
      </c>
      <c r="BI5" s="15" t="n">
        <v>239.868815624599</v>
      </c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65"/>
    </row>
    <row r="6" customFormat="false" ht="15" hidden="false" customHeight="false" outlineLevel="0" collapsed="false">
      <c r="A6" s="160" t="n">
        <v>6</v>
      </c>
      <c r="B6" s="164" t="n">
        <v>119.215247069716</v>
      </c>
      <c r="C6" s="15" t="n">
        <v>76.260724112791</v>
      </c>
      <c r="D6" s="15" t="n">
        <v>100.481384507098</v>
      </c>
      <c r="E6" s="15" t="n">
        <v>41.1682905755873</v>
      </c>
      <c r="F6" s="15" t="n">
        <v>103.257796354964</v>
      </c>
      <c r="G6" s="15" t="n">
        <v>87.7737433106073</v>
      </c>
      <c r="H6" s="15" t="n">
        <v>116.377975472247</v>
      </c>
      <c r="I6" s="15" t="n">
        <v>86.570402807667</v>
      </c>
      <c r="J6" s="15" t="n">
        <v>100.00690019641</v>
      </c>
      <c r="K6" s="15" t="n">
        <v>130.611816787674</v>
      </c>
      <c r="L6" s="15" t="n">
        <v>96.3433541561085</v>
      </c>
      <c r="M6" s="15" t="n">
        <v>96.3470726187112</v>
      </c>
      <c r="N6" s="15" t="n">
        <v>90.6630332677655</v>
      </c>
      <c r="O6" s="15" t="n">
        <v>90.4496692077813</v>
      </c>
      <c r="P6" s="15" t="n">
        <v>91.2035327910516</v>
      </c>
      <c r="Q6" s="15" t="n">
        <v>101.284441189767</v>
      </c>
      <c r="R6" s="15" t="n">
        <v>77.7959146248118</v>
      </c>
      <c r="S6" s="15" t="n">
        <v>77.7959146248118</v>
      </c>
      <c r="T6" s="15" t="n">
        <v>83.2549755619998</v>
      </c>
      <c r="U6" s="15" t="n">
        <v>83.2197360827848</v>
      </c>
      <c r="V6" s="15" t="n">
        <v>90.948914491255</v>
      </c>
      <c r="W6" s="15" t="n">
        <v>86.8430887962951</v>
      </c>
      <c r="X6" s="15" t="n">
        <v>87.6642826157813</v>
      </c>
      <c r="Y6" s="15" t="n">
        <v>137.880378258445</v>
      </c>
      <c r="Z6" s="15" t="n">
        <v>160.801584322328</v>
      </c>
      <c r="AA6" s="15" t="n">
        <v>278.169317313707</v>
      </c>
      <c r="AB6" s="15" t="n">
        <v>121.874715970375</v>
      </c>
      <c r="AC6" s="15" t="n">
        <v>109.612179539268</v>
      </c>
      <c r="AD6" s="15" t="n">
        <v>109.612179539268</v>
      </c>
      <c r="AE6" s="15" t="n">
        <v>121.941554507718</v>
      </c>
      <c r="AF6" s="15" t="n">
        <v>111.188015059414</v>
      </c>
      <c r="AG6" s="15" t="n">
        <v>114.086513348939</v>
      </c>
      <c r="AH6" s="15" t="n">
        <v>98.044111320015</v>
      </c>
      <c r="AI6" s="15" t="n">
        <v>123.708183625265</v>
      </c>
      <c r="AJ6" s="15" t="n">
        <v>123.708183625265</v>
      </c>
      <c r="AK6" s="15" t="n">
        <v>93.3817657460086</v>
      </c>
      <c r="AL6" s="15" t="n">
        <v>99.9612776316458</v>
      </c>
      <c r="AM6" s="15" t="n">
        <v>95.0521063686414</v>
      </c>
      <c r="AN6" s="15" t="n">
        <v>120.379774641242</v>
      </c>
      <c r="AO6" s="15" t="n">
        <v>84.3547459008943</v>
      </c>
      <c r="AP6" s="15" t="n">
        <v>84.3547459008943</v>
      </c>
      <c r="AQ6" s="15" t="n">
        <v>80.0096593585984</v>
      </c>
      <c r="AR6" s="15" t="n">
        <v>103.732470542754</v>
      </c>
      <c r="AS6" s="15" t="n">
        <v>112.563613974458</v>
      </c>
      <c r="AT6" s="15" t="n">
        <v>92.3938920897474</v>
      </c>
      <c r="AU6" s="15" t="n">
        <v>116.286449005871</v>
      </c>
      <c r="AV6" s="15" t="n">
        <v>92.7664370387265</v>
      </c>
      <c r="AW6" s="15" t="n">
        <v>-158.12704930363</v>
      </c>
      <c r="AX6" s="15" t="n">
        <v>86.5659153809546</v>
      </c>
      <c r="AY6" s="15" t="n">
        <v>128.845078093938</v>
      </c>
      <c r="AZ6" s="15" t="n">
        <v>165.452427479666</v>
      </c>
      <c r="BA6" s="15" t="n">
        <v>112.128045316359</v>
      </c>
      <c r="BB6" s="15" t="n">
        <v>110.550371685071</v>
      </c>
      <c r="BC6" s="15" t="n">
        <v>156.209544389576</v>
      </c>
      <c r="BD6" s="15" t="n">
        <v>137.885894627143</v>
      </c>
      <c r="BE6" s="15" t="n">
        <v>278.169317313707</v>
      </c>
      <c r="BF6" s="15" t="n">
        <v>100.573596278083</v>
      </c>
      <c r="BG6" s="15" t="n">
        <v>133.421449050915</v>
      </c>
      <c r="BH6" s="15" t="n">
        <v>136.359785690492</v>
      </c>
      <c r="BI6" s="15" t="n">
        <v>278.169317313707</v>
      </c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65"/>
    </row>
    <row r="7" customFormat="false" ht="15" hidden="false" customHeight="false" outlineLevel="0" collapsed="false">
      <c r="A7" s="160" t="n">
        <v>7</v>
      </c>
      <c r="B7" s="164" t="n">
        <v>123.825602816516</v>
      </c>
      <c r="C7" s="15" t="n">
        <v>77.9213008008816</v>
      </c>
      <c r="D7" s="15" t="n">
        <v>104.446719127122</v>
      </c>
      <c r="E7" s="15" t="n">
        <v>43.1098374904924</v>
      </c>
      <c r="F7" s="15" t="n">
        <v>107.534792716237</v>
      </c>
      <c r="G7" s="15" t="n">
        <v>91.1428299018502</v>
      </c>
      <c r="H7" s="15" t="n">
        <v>121.843817084841</v>
      </c>
      <c r="I7" s="15" t="n">
        <v>90.0462927640458</v>
      </c>
      <c r="J7" s="15" t="n">
        <v>103.870270440378</v>
      </c>
      <c r="K7" s="15" t="n">
        <v>137.3219550218</v>
      </c>
      <c r="L7" s="15" t="n">
        <v>101.464616721592</v>
      </c>
      <c r="M7" s="15" t="n">
        <v>101.468374067533</v>
      </c>
      <c r="N7" s="15" t="n">
        <v>94.5038740065168</v>
      </c>
      <c r="O7" s="15" t="n">
        <v>94.2761178411724</v>
      </c>
      <c r="P7" s="15" t="n">
        <v>95.1820558653175</v>
      </c>
      <c r="Q7" s="15" t="n">
        <v>106.998460663827</v>
      </c>
      <c r="R7" s="15" t="n">
        <v>80.2952676369206</v>
      </c>
      <c r="S7" s="15" t="n">
        <v>80.2952676369206</v>
      </c>
      <c r="T7" s="15" t="n">
        <v>86.7584391983704</v>
      </c>
      <c r="U7" s="15" t="n">
        <v>85.993511806944</v>
      </c>
      <c r="V7" s="15" t="n">
        <v>95.5547437496005</v>
      </c>
      <c r="W7" s="15" t="n">
        <v>90.9718477381588</v>
      </c>
      <c r="X7" s="15" t="n">
        <v>89.7135912060706</v>
      </c>
      <c r="Y7" s="15" t="n">
        <v>147.234095305147</v>
      </c>
      <c r="Z7" s="15" t="n">
        <v>175.323427925954</v>
      </c>
      <c r="AA7" s="15" t="n">
        <v>305.996053951799</v>
      </c>
      <c r="AB7" s="15" t="n">
        <v>127.957083890026</v>
      </c>
      <c r="AC7" s="15" t="n">
        <v>114.842505720466</v>
      </c>
      <c r="AD7" s="15" t="n">
        <v>114.842505720466</v>
      </c>
      <c r="AE7" s="15" t="n">
        <v>129.102777561691</v>
      </c>
      <c r="AF7" s="15" t="n">
        <v>116.33805090144</v>
      </c>
      <c r="AG7" s="15" t="n">
        <v>119.340239243829</v>
      </c>
      <c r="AH7" s="15" t="n">
        <v>102.184775348423</v>
      </c>
      <c r="AI7" s="15" t="n">
        <v>130.125388452087</v>
      </c>
      <c r="AJ7" s="15" t="n">
        <v>130.125388452087</v>
      </c>
      <c r="AK7" s="15" t="n">
        <v>97.882763154556</v>
      </c>
      <c r="AL7" s="15" t="n">
        <v>104.98589965933</v>
      </c>
      <c r="AM7" s="15" t="n">
        <v>98.4511537162074</v>
      </c>
      <c r="AN7" s="15" t="n">
        <v>125.3237107286</v>
      </c>
      <c r="AO7" s="15" t="n">
        <v>86.2811716871012</v>
      </c>
      <c r="AP7" s="15" t="n">
        <v>86.2811716871012</v>
      </c>
      <c r="AQ7" s="15" t="n">
        <v>82.4908403065296</v>
      </c>
      <c r="AR7" s="15" t="n">
        <v>107.552867819941</v>
      </c>
      <c r="AS7" s="15" t="n">
        <v>116.943270169369</v>
      </c>
      <c r="AT7" s="15" t="n">
        <v>95.3592599925302</v>
      </c>
      <c r="AU7" s="15" t="n">
        <v>121.995820832903</v>
      </c>
      <c r="AV7" s="15" t="n">
        <v>101.686978637101</v>
      </c>
      <c r="AW7" s="15" t="n">
        <v>-131.998472145242</v>
      </c>
      <c r="AX7" s="15" t="n">
        <v>90.3883928105324</v>
      </c>
      <c r="AY7" s="15" t="n">
        <v>138.067508853326</v>
      </c>
      <c r="AZ7" s="15" t="n">
        <v>178.175323442206</v>
      </c>
      <c r="BA7" s="15" t="n">
        <v>122.01417688904</v>
      </c>
      <c r="BB7" s="15" t="n">
        <v>119.112467184093</v>
      </c>
      <c r="BC7" s="15" t="n">
        <v>167.510689202908</v>
      </c>
      <c r="BD7" s="15" t="n">
        <v>146.007227082081</v>
      </c>
      <c r="BE7" s="15" t="n">
        <v>305.996053951799</v>
      </c>
      <c r="BF7" s="15" t="n">
        <v>106.490724328567</v>
      </c>
      <c r="BG7" s="15" t="n">
        <v>141.736355606849</v>
      </c>
      <c r="BH7" s="15" t="n">
        <v>144.804463177181</v>
      </c>
      <c r="BI7" s="15" t="n">
        <v>305.996053951799</v>
      </c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65"/>
    </row>
    <row r="8" customFormat="false" ht="15" hidden="false" customHeight="false" outlineLevel="0" collapsed="false">
      <c r="A8" s="160" t="n">
        <v>8</v>
      </c>
      <c r="B8" s="164" t="n">
        <v>121.997206462902</v>
      </c>
      <c r="C8" s="15" t="n">
        <v>73.2460829631968</v>
      </c>
      <c r="D8" s="15" t="n">
        <v>102.544052978149</v>
      </c>
      <c r="E8" s="15" t="n">
        <v>40.2825810247157</v>
      </c>
      <c r="F8" s="15" t="n">
        <v>105.868525412373</v>
      </c>
      <c r="G8" s="15" t="n">
        <v>89.0248462945393</v>
      </c>
      <c r="H8" s="15" t="n">
        <v>120.784816669921</v>
      </c>
      <c r="I8" s="15" t="n">
        <v>88.0437809905193</v>
      </c>
      <c r="J8" s="15" t="n">
        <v>101.870912363033</v>
      </c>
      <c r="K8" s="15" t="n">
        <v>136.670525872216</v>
      </c>
      <c r="L8" s="15" t="n">
        <v>100.510284524311</v>
      </c>
      <c r="M8" s="15" t="n">
        <v>100.513979406067</v>
      </c>
      <c r="N8" s="15" t="n">
        <v>92.7455775151378</v>
      </c>
      <c r="O8" s="15" t="n">
        <v>92.5095986928324</v>
      </c>
      <c r="P8" s="15" t="n">
        <v>93.5352920144848</v>
      </c>
      <c r="Q8" s="15" t="n">
        <v>106.253861272234</v>
      </c>
      <c r="R8" s="15" t="n">
        <v>77.1550127992547</v>
      </c>
      <c r="S8" s="15" t="n">
        <v>77.1550127992547</v>
      </c>
      <c r="T8" s="15" t="n">
        <v>84.8511762788217</v>
      </c>
      <c r="U8" s="15" t="n">
        <v>83.0257803149598</v>
      </c>
      <c r="V8" s="15" t="n">
        <v>94.4228675879128</v>
      </c>
      <c r="W8" s="15" t="n">
        <v>89.5301473895634</v>
      </c>
      <c r="X8" s="15" t="n">
        <v>85.0202454562432</v>
      </c>
      <c r="Y8" s="15" t="n">
        <v>147.20173163647</v>
      </c>
      <c r="Z8" s="15" t="n">
        <v>175.922009833659</v>
      </c>
      <c r="AA8" s="15" t="n">
        <v>315.496210682702</v>
      </c>
      <c r="AB8" s="15" t="n">
        <v>127.13504225802</v>
      </c>
      <c r="AC8" s="15" t="n">
        <v>113.760229009117</v>
      </c>
      <c r="AD8" s="15" t="n">
        <v>113.760229009117</v>
      </c>
      <c r="AE8" s="15" t="n">
        <v>128.770017964605</v>
      </c>
      <c r="AF8" s="15" t="n">
        <v>115.169109295249</v>
      </c>
      <c r="AG8" s="15" t="n">
        <v>118.147739816973</v>
      </c>
      <c r="AH8" s="15" t="n">
        <v>100.531582138839</v>
      </c>
      <c r="AI8" s="15" t="n">
        <v>129.451998569257</v>
      </c>
      <c r="AJ8" s="15" t="n">
        <v>129.451998569257</v>
      </c>
      <c r="AK8" s="15" t="n">
        <v>96.6849072858807</v>
      </c>
      <c r="AL8" s="15" t="n">
        <v>103.954476057703</v>
      </c>
      <c r="AM8" s="15" t="n">
        <v>96.0995241940624</v>
      </c>
      <c r="AN8" s="15" t="n">
        <v>123.721787055831</v>
      </c>
      <c r="AO8" s="15" t="n">
        <v>81.452287399203</v>
      </c>
      <c r="AP8" s="15" t="n">
        <v>81.452287399203</v>
      </c>
      <c r="AQ8" s="15" t="n">
        <v>79.1149778216356</v>
      </c>
      <c r="AR8" s="15" t="n">
        <v>105.26120175574</v>
      </c>
      <c r="AS8" s="15" t="n">
        <v>114.954393101718</v>
      </c>
      <c r="AT8" s="15" t="n">
        <v>92.1189049753788</v>
      </c>
      <c r="AU8" s="15" t="n">
        <v>120.99907019306</v>
      </c>
      <c r="AV8" s="15" t="n">
        <v>101.688343936029</v>
      </c>
      <c r="AW8" s="15" t="n">
        <v>-121.195198485361</v>
      </c>
      <c r="AX8" s="15" t="n">
        <v>88.7772914097667</v>
      </c>
      <c r="AY8" s="15" t="n">
        <v>138.056130768597</v>
      </c>
      <c r="AZ8" s="15" t="n">
        <v>178.293382800106</v>
      </c>
      <c r="BA8" s="15" t="n">
        <v>122.035861719916</v>
      </c>
      <c r="BB8" s="15" t="n">
        <v>119.099929351541</v>
      </c>
      <c r="BC8" s="15" t="n">
        <v>167.524122026421</v>
      </c>
      <c r="BD8" s="15" t="n">
        <v>145.741053397999</v>
      </c>
      <c r="BE8" s="15" t="n">
        <v>315.496210682702</v>
      </c>
      <c r="BF8" s="15" t="n">
        <v>105.956838142269</v>
      </c>
      <c r="BG8" s="15" t="n">
        <v>141.610887233994</v>
      </c>
      <c r="BH8" s="15" t="n">
        <v>144.65922200115</v>
      </c>
      <c r="BI8" s="15" t="n">
        <v>315.496210682702</v>
      </c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65"/>
    </row>
    <row r="9" customFormat="false" ht="15" hidden="false" customHeight="false" outlineLevel="0" collapsed="false">
      <c r="A9" s="160" t="n">
        <v>9</v>
      </c>
      <c r="B9" s="164" t="n">
        <v>89.1028349166037</v>
      </c>
      <c r="C9" s="15" t="n">
        <v>38.1303719043287</v>
      </c>
      <c r="D9" s="15" t="n">
        <v>73.1304435885957</v>
      </c>
      <c r="E9" s="15" t="n">
        <v>34.8953313618451</v>
      </c>
      <c r="F9" s="15" t="n">
        <v>77.4122272549393</v>
      </c>
      <c r="G9" s="15" t="n">
        <v>61.2362728611547</v>
      </c>
      <c r="H9" s="15" t="n">
        <v>94.0036101233293</v>
      </c>
      <c r="I9" s="15" t="n">
        <v>60.6255541313169</v>
      </c>
      <c r="J9" s="15" t="n">
        <v>71.9662726719057</v>
      </c>
      <c r="K9" s="15" t="n">
        <v>110.685460640876</v>
      </c>
      <c r="L9" s="15" t="n">
        <v>76.6915303488273</v>
      </c>
      <c r="M9" s="15" t="n">
        <v>76.6940873934062</v>
      </c>
      <c r="N9" s="15" t="n">
        <v>65.7731960185602</v>
      </c>
      <c r="O9" s="15" t="n">
        <v>65.5305734206281</v>
      </c>
      <c r="P9" s="15" t="n">
        <v>67.02136203072</v>
      </c>
      <c r="Q9" s="15" t="n">
        <v>82.9402497268531</v>
      </c>
      <c r="R9" s="15" t="n">
        <v>47.0343625749011</v>
      </c>
      <c r="S9" s="15" t="n">
        <v>47.0343625749011</v>
      </c>
      <c r="T9" s="15" t="n">
        <v>58.2722504836906</v>
      </c>
      <c r="U9" s="15" t="n">
        <v>52.2259918848978</v>
      </c>
      <c r="V9" s="15" t="n">
        <v>70.8752958539963</v>
      </c>
      <c r="W9" s="15" t="n">
        <v>64.5233914854658</v>
      </c>
      <c r="X9" s="15" t="n">
        <v>44.3091147639768</v>
      </c>
      <c r="Y9" s="15" t="n">
        <v>129.445441101493</v>
      </c>
      <c r="Z9" s="15" t="n">
        <v>166.294755672231</v>
      </c>
      <c r="AA9" s="15" t="n">
        <v>315.321180945577</v>
      </c>
      <c r="AB9" s="15" t="n">
        <v>101.013720146337</v>
      </c>
      <c r="AC9" s="15" t="n">
        <v>87.794112453034</v>
      </c>
      <c r="AD9" s="15" t="n">
        <v>87.794112453034</v>
      </c>
      <c r="AE9" s="15" t="n">
        <v>107.894100652072</v>
      </c>
      <c r="AF9" s="15" t="n">
        <v>88.3668758694346</v>
      </c>
      <c r="AG9" s="15" t="n">
        <v>90.294020793546</v>
      </c>
      <c r="AH9" s="15" t="n">
        <v>73.0315970026468</v>
      </c>
      <c r="AI9" s="15" t="n">
        <v>104.475438517605</v>
      </c>
      <c r="AJ9" s="15" t="n">
        <v>104.475438517605</v>
      </c>
      <c r="AK9" s="15" t="n">
        <v>72.9397623452755</v>
      </c>
      <c r="AL9" s="15" t="n">
        <v>79.7247480447997</v>
      </c>
      <c r="AM9" s="15" t="n">
        <v>65.5034023591556</v>
      </c>
      <c r="AN9" s="15" t="n">
        <v>91.5878547071063</v>
      </c>
      <c r="AO9" s="15" t="n">
        <v>40.9292939818451</v>
      </c>
      <c r="AP9" s="15" t="n">
        <v>40.9292939818451</v>
      </c>
      <c r="AQ9" s="15" t="n">
        <v>46.7163131241156</v>
      </c>
      <c r="AR9" s="15" t="n">
        <v>71.6023973095816</v>
      </c>
      <c r="AS9" s="15" t="n">
        <v>80.8833475934665</v>
      </c>
      <c r="AT9" s="15" t="n">
        <v>56.3753221186366</v>
      </c>
      <c r="AU9" s="15" t="n">
        <v>93.4122871279283</v>
      </c>
      <c r="AV9" s="15" t="n">
        <v>89.4733945514416</v>
      </c>
      <c r="AW9" s="15" t="n">
        <v>-116.993267464697</v>
      </c>
      <c r="AX9" s="15" t="n">
        <v>63.7318489520974</v>
      </c>
      <c r="AY9" s="15" t="n">
        <v>122.577732473503</v>
      </c>
      <c r="AZ9" s="15" t="n">
        <v>164.235215219364</v>
      </c>
      <c r="BA9" s="15" t="n">
        <v>110.023660101652</v>
      </c>
      <c r="BB9" s="15" t="n">
        <v>105.07095804159</v>
      </c>
      <c r="BC9" s="15" t="n">
        <v>151.880654784756</v>
      </c>
      <c r="BD9" s="15" t="n">
        <v>122.566682829704</v>
      </c>
      <c r="BE9" s="15" t="n">
        <v>315.321180945577</v>
      </c>
      <c r="BF9" s="15" t="n">
        <v>85.6509159938579</v>
      </c>
      <c r="BG9" s="15" t="n">
        <v>122.904833623611</v>
      </c>
      <c r="BH9" s="15" t="n">
        <v>124.562648876708</v>
      </c>
      <c r="BI9" s="15" t="n">
        <v>315.321180945577</v>
      </c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65"/>
    </row>
    <row r="10" customFormat="false" ht="15" hidden="false" customHeight="false" outlineLevel="0" collapsed="false">
      <c r="A10" s="160" t="n">
        <v>10</v>
      </c>
      <c r="B10" s="164" t="n">
        <v>67.5496913637268</v>
      </c>
      <c r="C10" s="15" t="n">
        <v>19.3367359136491</v>
      </c>
      <c r="D10" s="15" t="n">
        <v>54.2602037685285</v>
      </c>
      <c r="E10" s="15" t="n">
        <v>28.0046194860157</v>
      </c>
      <c r="F10" s="15" t="n">
        <v>58.840105002797</v>
      </c>
      <c r="G10" s="15" t="n">
        <v>43.9524287836038</v>
      </c>
      <c r="H10" s="15" t="n">
        <v>75.4611038553913</v>
      </c>
      <c r="I10" s="15" t="n">
        <v>43.3553479978632</v>
      </c>
      <c r="J10" s="15" t="n">
        <v>52.8984663522504</v>
      </c>
      <c r="K10" s="15" t="n">
        <v>91.7010949251998</v>
      </c>
      <c r="L10" s="15" t="n">
        <v>59.9456589638313</v>
      </c>
      <c r="M10" s="15" t="n">
        <v>59.9474639572398</v>
      </c>
      <c r="N10" s="15" t="n">
        <v>48.3877564751194</v>
      </c>
      <c r="O10" s="15" t="n">
        <v>48.1545321669532</v>
      </c>
      <c r="P10" s="15" t="n">
        <v>49.7650491008813</v>
      </c>
      <c r="Q10" s="15" t="n">
        <v>66.0190782992907</v>
      </c>
      <c r="R10" s="15" t="n">
        <v>29.5341112886371</v>
      </c>
      <c r="S10" s="15" t="n">
        <v>29.5341112886371</v>
      </c>
      <c r="T10" s="15" t="n">
        <v>41.4047742114994</v>
      </c>
      <c r="U10" s="15" t="n">
        <v>33.9815672262761</v>
      </c>
      <c r="V10" s="15" t="n">
        <v>54.8296648100074</v>
      </c>
      <c r="W10" s="15" t="n">
        <v>47.9937651275646</v>
      </c>
      <c r="X10" s="15" t="n">
        <v>21.3913550165937</v>
      </c>
      <c r="Y10" s="15" t="n">
        <v>114.251464328745</v>
      </c>
      <c r="Z10" s="15" t="n">
        <v>154.530458466656</v>
      </c>
      <c r="AA10" s="15" t="n">
        <v>309.893836370428</v>
      </c>
      <c r="AB10" s="15" t="n">
        <v>82.3507494735589</v>
      </c>
      <c r="AC10" s="15" t="n">
        <v>69.8748049817285</v>
      </c>
      <c r="AD10" s="15" t="n">
        <v>69.8748049817285</v>
      </c>
      <c r="AE10" s="15" t="n">
        <v>91.9203226478088</v>
      </c>
      <c r="AF10" s="15" t="n">
        <v>70.020854812398</v>
      </c>
      <c r="AG10" s="15" t="n">
        <v>71.1342645611436</v>
      </c>
      <c r="AH10" s="15" t="n">
        <v>55.1190012915107</v>
      </c>
      <c r="AI10" s="15" t="n">
        <v>86.3269404012486</v>
      </c>
      <c r="AJ10" s="15" t="n">
        <v>86.3269404012486</v>
      </c>
      <c r="AK10" s="15" t="n">
        <v>56.9766052256192</v>
      </c>
      <c r="AL10" s="15" t="n">
        <v>62.9651280376502</v>
      </c>
      <c r="AM10" s="15" t="n">
        <v>46.5612801219043</v>
      </c>
      <c r="AN10" s="15" t="n">
        <v>70.0430074211419</v>
      </c>
      <c r="AO10" s="15" t="n">
        <v>18.2990038378953</v>
      </c>
      <c r="AP10" s="15" t="n">
        <v>18.2990038378953</v>
      </c>
      <c r="AQ10" s="15" t="n">
        <v>27.8383892844081</v>
      </c>
      <c r="AR10" s="15" t="n">
        <v>49.9921655554597</v>
      </c>
      <c r="AS10" s="15" t="n">
        <v>58.3593791844988</v>
      </c>
      <c r="AT10" s="15" t="n">
        <v>34.7754171976271</v>
      </c>
      <c r="AU10" s="15" t="n">
        <v>73.8408216364372</v>
      </c>
      <c r="AV10" s="15" t="n">
        <v>64.7709486099561</v>
      </c>
      <c r="AW10" s="15" t="n">
        <v>-116.411790771484</v>
      </c>
      <c r="AX10" s="15" t="n">
        <v>47.5974084700954</v>
      </c>
      <c r="AY10" s="15" t="n">
        <v>109.018894645123</v>
      </c>
      <c r="AZ10" s="15" t="n">
        <v>150.102782726643</v>
      </c>
      <c r="BA10" s="15" t="n">
        <v>84.941830071944</v>
      </c>
      <c r="BB10" s="15" t="n">
        <v>92.6859553709321</v>
      </c>
      <c r="BC10" s="15" t="n">
        <v>137.309939829686</v>
      </c>
      <c r="BD10" s="15" t="n">
        <v>104.326619859</v>
      </c>
      <c r="BE10" s="15" t="n">
        <v>309.893836370428</v>
      </c>
      <c r="BF10" s="15" t="n">
        <v>70.7088402477189</v>
      </c>
      <c r="BG10" s="15" t="n">
        <v>107.84965831103</v>
      </c>
      <c r="BH10" s="15" t="n">
        <v>108.377017761309</v>
      </c>
      <c r="BI10" s="15" t="n">
        <v>309.893836370428</v>
      </c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65"/>
    </row>
    <row r="11" customFormat="false" ht="15" hidden="false" customHeight="false" outlineLevel="0" collapsed="false">
      <c r="A11" s="160" t="n">
        <v>11</v>
      </c>
      <c r="B11" s="164" t="n">
        <v>46.3626577008338</v>
      </c>
      <c r="C11" s="15" t="n">
        <v>12.2979064360693</v>
      </c>
      <c r="D11" s="15" t="n">
        <v>35.9230033243212</v>
      </c>
      <c r="E11" s="15" t="n">
        <v>20.3865251954167</v>
      </c>
      <c r="F11" s="15" t="n">
        <v>40.6407864909663</v>
      </c>
      <c r="G11" s="15" t="n">
        <v>27.3815947688799</v>
      </c>
      <c r="H11" s="15" t="n">
        <v>56.8032042920143</v>
      </c>
      <c r="I11" s="15" t="n">
        <v>26.687550366142</v>
      </c>
      <c r="J11" s="15" t="n">
        <v>34.4256006068441</v>
      </c>
      <c r="K11" s="15" t="n">
        <v>72.1485367931366</v>
      </c>
      <c r="L11" s="15" t="n">
        <v>42.9816812387819</v>
      </c>
      <c r="M11" s="15" t="n">
        <v>42.9827505714063</v>
      </c>
      <c r="N11" s="15" t="n">
        <v>31.4447822129276</v>
      </c>
      <c r="O11" s="15" t="n">
        <v>31.2269251196765</v>
      </c>
      <c r="P11" s="15" t="n">
        <v>32.8719369595223</v>
      </c>
      <c r="Q11" s="15" t="n">
        <v>48.6835979990623</v>
      </c>
      <c r="R11" s="15" t="n">
        <v>18.2121345093418</v>
      </c>
      <c r="S11" s="15" t="n">
        <v>18.2121345093418</v>
      </c>
      <c r="T11" s="15" t="n">
        <v>25.0876357483915</v>
      </c>
      <c r="U11" s="15" t="n">
        <v>21.7403649782174</v>
      </c>
      <c r="V11" s="15" t="n">
        <v>38.7892686196831</v>
      </c>
      <c r="W11" s="15" t="n">
        <v>31.7153725095858</v>
      </c>
      <c r="X11" s="15" t="n">
        <v>17.8687350637252</v>
      </c>
      <c r="Y11" s="15" t="n">
        <v>97.7725003130467</v>
      </c>
      <c r="Z11" s="15" t="n">
        <v>140.530193947068</v>
      </c>
      <c r="AA11" s="15" t="n">
        <v>299.210230299501</v>
      </c>
      <c r="AB11" s="15" t="n">
        <v>63.3153301726914</v>
      </c>
      <c r="AC11" s="15" t="n">
        <v>51.8653450024376</v>
      </c>
      <c r="AD11" s="15" t="n">
        <v>51.8653450024376</v>
      </c>
      <c r="AE11" s="15" t="n">
        <v>75.2150229277235</v>
      </c>
      <c r="AF11" s="15" t="n">
        <v>51.6487886336281</v>
      </c>
      <c r="AG11" s="15" t="n">
        <v>51.8964176360352</v>
      </c>
      <c r="AH11" s="15" t="n">
        <v>37.5720582221263</v>
      </c>
      <c r="AI11" s="15" t="n">
        <v>67.6966324727368</v>
      </c>
      <c r="AJ11" s="15" t="n">
        <v>67.6966324727368</v>
      </c>
      <c r="AK11" s="15" t="n">
        <v>41.0861348737288</v>
      </c>
      <c r="AL11" s="15" t="n">
        <v>46.1070303038596</v>
      </c>
      <c r="AM11" s="15" t="n">
        <v>28.4742682502368</v>
      </c>
      <c r="AN11" s="15" t="n">
        <v>48.6142846906983</v>
      </c>
      <c r="AO11" s="15" t="n">
        <v>15.5634209013885</v>
      </c>
      <c r="AP11" s="15" t="n">
        <v>15.5634209013885</v>
      </c>
      <c r="AQ11" s="15" t="n">
        <v>17.7919075116753</v>
      </c>
      <c r="AR11" s="15" t="n">
        <v>29.8863442080465</v>
      </c>
      <c r="AS11" s="15" t="n">
        <v>36.0691932772916</v>
      </c>
      <c r="AT11" s="15" t="n">
        <v>23.6901595978261</v>
      </c>
      <c r="AU11" s="15" t="n">
        <v>53.8849800586521</v>
      </c>
      <c r="AV11" s="15" t="n">
        <v>42.8443417291652</v>
      </c>
      <c r="AW11" s="15"/>
      <c r="AX11" s="15" t="n">
        <v>31.8594006830379</v>
      </c>
      <c r="AY11" s="15" t="n">
        <v>94.2144373449215</v>
      </c>
      <c r="AZ11" s="15" t="n">
        <v>134.138114665993</v>
      </c>
      <c r="BA11" s="15" t="n">
        <v>57.3072500472964</v>
      </c>
      <c r="BB11" s="15" t="n">
        <v>79.0948845606683</v>
      </c>
      <c r="BC11" s="15" t="n">
        <v>121.179695564417</v>
      </c>
      <c r="BD11" s="15" t="n">
        <v>85.0000646880917</v>
      </c>
      <c r="BE11" s="15" t="n">
        <v>299.210230299501</v>
      </c>
      <c r="BF11" s="15" t="n">
        <v>55.2829058346311</v>
      </c>
      <c r="BG11" s="15" t="n">
        <v>91.8693972891713</v>
      </c>
      <c r="BH11" s="15" t="n">
        <v>91.1645065753754</v>
      </c>
      <c r="BI11" s="15" t="n">
        <v>299.210230299501</v>
      </c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65"/>
    </row>
    <row r="12" customFormat="false" ht="15" hidden="false" customHeight="false" outlineLevel="0" collapsed="false">
      <c r="A12" s="160" t="n">
        <v>12</v>
      </c>
      <c r="B12" s="164" t="n">
        <v>42.0408313831989</v>
      </c>
      <c r="C12" s="15" t="n">
        <v>2.66813106894161</v>
      </c>
      <c r="D12" s="15" t="n">
        <v>32.1404631579171</v>
      </c>
      <c r="E12" s="15" t="n">
        <v>12.5529086554233</v>
      </c>
      <c r="F12" s="15" t="n">
        <v>34.7872106416698</v>
      </c>
      <c r="G12" s="15" t="n">
        <v>24.6572119881909</v>
      </c>
      <c r="H12" s="15" t="n">
        <v>44.9214372936125</v>
      </c>
      <c r="I12" s="15" t="n">
        <v>22.7732048826738</v>
      </c>
      <c r="J12" s="15" t="n">
        <v>31.441586965859</v>
      </c>
      <c r="K12" s="15" t="n">
        <v>53.5024022635829</v>
      </c>
      <c r="L12" s="15" t="n">
        <v>32.4840184559375</v>
      </c>
      <c r="M12" s="15" t="n">
        <v>32.4855334905841</v>
      </c>
      <c r="N12" s="15" t="n">
        <v>27.0046505727055</v>
      </c>
      <c r="O12" s="15" t="n">
        <v>26.8511637377611</v>
      </c>
      <c r="P12" s="15" t="n">
        <v>27.7252939499587</v>
      </c>
      <c r="Q12" s="15" t="n">
        <v>36.9753093698612</v>
      </c>
      <c r="R12" s="15" t="n">
        <v>13.3099554261921</v>
      </c>
      <c r="S12" s="15" t="n">
        <v>13.3099554261921</v>
      </c>
      <c r="T12" s="15" t="n">
        <v>22.0942852391999</v>
      </c>
      <c r="U12" s="15" t="n">
        <v>16.9355434136173</v>
      </c>
      <c r="V12" s="15" t="n">
        <v>30.056982518164</v>
      </c>
      <c r="W12" s="15" t="n">
        <v>25.5394634638625</v>
      </c>
      <c r="X12" s="15" t="n">
        <v>0.754516844678449</v>
      </c>
      <c r="Y12" s="15" t="n">
        <v>81.140688803634</v>
      </c>
      <c r="Z12" s="15" t="n">
        <v>125.404794966457</v>
      </c>
      <c r="AA12" s="15"/>
      <c r="AB12" s="15" t="n">
        <v>48.5362643361181</v>
      </c>
      <c r="AC12" s="15" t="n">
        <v>40.6215665789648</v>
      </c>
      <c r="AD12" s="15" t="n">
        <v>40.6215665789648</v>
      </c>
      <c r="AE12" s="15" t="n">
        <v>58.8682098122797</v>
      </c>
      <c r="AF12" s="15" t="n">
        <v>41.103432166627</v>
      </c>
      <c r="AG12" s="15" t="n">
        <v>41.6254055856879</v>
      </c>
      <c r="AH12" s="15" t="n">
        <v>31.5425428640483</v>
      </c>
      <c r="AI12" s="15" t="n">
        <v>50.7681591906942</v>
      </c>
      <c r="AJ12" s="15" t="n">
        <v>50.7681591906942</v>
      </c>
      <c r="AK12" s="15" t="n">
        <v>31.384240137091</v>
      </c>
      <c r="AL12" s="15" t="n">
        <v>35.5503478487908</v>
      </c>
      <c r="AM12" s="15" t="n">
        <v>27.6364999102413</v>
      </c>
      <c r="AN12" s="15" t="n">
        <v>42.2788066996425</v>
      </c>
      <c r="AO12" s="15" t="n">
        <v>-1.9751539083144</v>
      </c>
      <c r="AP12" s="15" t="n">
        <v>-1.9751539083144</v>
      </c>
      <c r="AQ12" s="15" t="n">
        <v>10.383241400227</v>
      </c>
      <c r="AR12" s="15" t="n">
        <v>28.953619455299</v>
      </c>
      <c r="AS12" s="15" t="n">
        <v>34.7543371358745</v>
      </c>
      <c r="AT12" s="15" t="n">
        <v>14.4933493946728</v>
      </c>
      <c r="AU12" s="15" t="n">
        <v>40.9607206440852</v>
      </c>
      <c r="AV12" s="15" t="n">
        <v>37.958388233703</v>
      </c>
      <c r="AW12" s="15"/>
      <c r="AX12" s="15" t="n">
        <v>25.7695449237613</v>
      </c>
      <c r="AY12" s="15" t="n">
        <v>79.1809978252718</v>
      </c>
      <c r="AZ12" s="15" t="n">
        <v>117.500688682344</v>
      </c>
      <c r="BA12" s="15" t="n">
        <v>56.9420204162024</v>
      </c>
      <c r="BB12" s="15" t="n">
        <v>65.2369564042972</v>
      </c>
      <c r="BC12" s="15" t="n">
        <v>104.628062183585</v>
      </c>
      <c r="BD12" s="15" t="n">
        <v>65.8884594404925</v>
      </c>
      <c r="BE12" s="15"/>
      <c r="BF12" s="15" t="n">
        <v>40.3527150899748</v>
      </c>
      <c r="BG12" s="15" t="n">
        <v>76.0179639356409</v>
      </c>
      <c r="BH12" s="15" t="n">
        <v>74.0817331580884</v>
      </c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65"/>
    </row>
    <row r="13" customFormat="false" ht="15" hidden="false" customHeight="false" outlineLevel="0" collapsed="false">
      <c r="A13" s="160" t="n">
        <v>13</v>
      </c>
      <c r="B13" s="164" t="n">
        <v>26.8617897934505</v>
      </c>
      <c r="C13" s="15" t="n">
        <v>-11.367992515363</v>
      </c>
      <c r="D13" s="15" t="n">
        <v>19.1936736157949</v>
      </c>
      <c r="E13" s="15" t="n">
        <v>4.83468893022879</v>
      </c>
      <c r="F13" s="15" t="n">
        <v>23.8938129382573</v>
      </c>
      <c r="G13" s="15" t="n">
        <v>12.4048709457848</v>
      </c>
      <c r="H13" s="15" t="n">
        <v>39.2009028461555</v>
      </c>
      <c r="I13" s="15" t="n">
        <v>11.5341403405044</v>
      </c>
      <c r="J13" s="15" t="n">
        <v>17.6271680742383</v>
      </c>
      <c r="K13" s="15" t="n">
        <v>53.2952189457525</v>
      </c>
      <c r="L13" s="15" t="n">
        <v>26.8969164964583</v>
      </c>
      <c r="M13" s="15" t="n">
        <v>26.8973270851532</v>
      </c>
      <c r="N13" s="15" t="n">
        <v>15.923835801763</v>
      </c>
      <c r="O13" s="15" t="n">
        <v>15.7251713347861</v>
      </c>
      <c r="P13" s="15" t="n">
        <v>17.3321796277808</v>
      </c>
      <c r="Q13" s="15" t="n">
        <v>32.1140206978008</v>
      </c>
      <c r="R13" s="15" t="n">
        <v>-0.929098761510353</v>
      </c>
      <c r="S13" s="15" t="n">
        <v>-0.929098761510353</v>
      </c>
      <c r="T13" s="15" t="n">
        <v>10.2388979287234</v>
      </c>
      <c r="U13" s="15" t="n">
        <v>1.90911664392473</v>
      </c>
      <c r="V13" s="15" t="n">
        <v>23.732874968666</v>
      </c>
      <c r="W13" s="15" t="n">
        <v>16.6639638167423</v>
      </c>
      <c r="X13" s="15" t="n">
        <v>-16.5290625639128</v>
      </c>
      <c r="Y13" s="15" t="n">
        <v>66.7161344527017</v>
      </c>
      <c r="Z13" s="15" t="n">
        <v>109.902590943143</v>
      </c>
      <c r="AA13" s="15"/>
      <c r="AB13" s="15" t="n">
        <v>45.1377810983033</v>
      </c>
      <c r="AC13" s="15" t="n">
        <v>34.88992072838</v>
      </c>
      <c r="AD13" s="15" t="n">
        <v>34.88992072838</v>
      </c>
      <c r="AE13" s="15" t="n">
        <v>53.832074982682</v>
      </c>
      <c r="AF13" s="15" t="n">
        <v>34.3935213937682</v>
      </c>
      <c r="AG13" s="15" t="n">
        <v>33.8042100037209</v>
      </c>
      <c r="AH13" s="15" t="n">
        <v>21.4167178127936</v>
      </c>
      <c r="AI13" s="15" t="n">
        <v>49.7912464856198</v>
      </c>
      <c r="AJ13" s="15" t="n">
        <v>49.7912464856198</v>
      </c>
      <c r="AK13" s="15" t="n">
        <v>26.1898392338559</v>
      </c>
      <c r="AL13" s="15" t="n">
        <v>30.2006992698468</v>
      </c>
      <c r="AM13" s="15" t="n">
        <v>12.2422654491996</v>
      </c>
      <c r="AN13" s="15" t="n">
        <v>28.6706070571062</v>
      </c>
      <c r="AO13" s="15" t="n">
        <v>-18.8661915168867</v>
      </c>
      <c r="AP13" s="15" t="n">
        <v>-18.8661915168867</v>
      </c>
      <c r="AQ13" s="15" t="n">
        <v>-4.80529734668401</v>
      </c>
      <c r="AR13" s="15" t="n">
        <v>9.82522121090114</v>
      </c>
      <c r="AS13" s="15" t="n">
        <v>15.4758574065842</v>
      </c>
      <c r="AT13" s="15" t="n">
        <v>-3.27571402613651</v>
      </c>
      <c r="AU13" s="15" t="n">
        <v>34.8559981809815</v>
      </c>
      <c r="AV13" s="15" t="n">
        <v>25.2490722539808</v>
      </c>
      <c r="AW13" s="15"/>
      <c r="AX13" s="15" t="n">
        <v>17.3856762371987</v>
      </c>
      <c r="AY13" s="15" t="n">
        <v>64.9328131318857</v>
      </c>
      <c r="AZ13" s="15" t="n">
        <v>100.934569283001</v>
      </c>
      <c r="BA13" s="15" t="n">
        <v>44.0109540896531</v>
      </c>
      <c r="BB13" s="15" t="n">
        <v>54.1054444594249</v>
      </c>
      <c r="BC13" s="15" t="n">
        <v>88.3663723784853</v>
      </c>
      <c r="BD13" s="15" t="n">
        <v>59.7713810851532</v>
      </c>
      <c r="BE13" s="15"/>
      <c r="BF13" s="15" t="n">
        <v>39.6197700058708</v>
      </c>
      <c r="BG13" s="15" t="n">
        <v>65.8306546687978</v>
      </c>
      <c r="BH13" s="15" t="n">
        <v>64.5248924429421</v>
      </c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65"/>
    </row>
    <row r="14" customFormat="false" ht="15" hidden="false" customHeight="false" outlineLevel="0" collapsed="false">
      <c r="A14" s="160" t="n">
        <v>14</v>
      </c>
      <c r="B14" s="164" t="n">
        <v>9.72426265757066</v>
      </c>
      <c r="C14" s="15" t="n">
        <v>-22.8739117825903</v>
      </c>
      <c r="D14" s="15" t="n">
        <v>4.54667810227381</v>
      </c>
      <c r="E14" s="15" t="n">
        <v>-2.56483364266847</v>
      </c>
      <c r="F14" s="15" t="n">
        <v>9.09676808635604</v>
      </c>
      <c r="G14" s="15" t="n">
        <v>-0.652727215518631</v>
      </c>
      <c r="H14" s="15" t="n">
        <v>23.2707042089829</v>
      </c>
      <c r="I14" s="15" t="n">
        <v>-1.74411660320418</v>
      </c>
      <c r="J14" s="15" t="n">
        <v>2.97317984149959</v>
      </c>
      <c r="K14" s="15" t="n">
        <v>35.8756828063306</v>
      </c>
      <c r="L14" s="15" t="n">
        <v>12.2738544673659</v>
      </c>
      <c r="M14" s="15" t="n">
        <v>12.2737221485206</v>
      </c>
      <c r="N14" s="15" t="n">
        <v>2.24778900557712</v>
      </c>
      <c r="O14" s="15" t="n">
        <v>2.0699811074365</v>
      </c>
      <c r="P14" s="15" t="n">
        <v>3.58542083585745</v>
      </c>
      <c r="Q14" s="15" t="n">
        <v>16.9673828030734</v>
      </c>
      <c r="R14" s="15" t="n">
        <v>-13.0546560155642</v>
      </c>
      <c r="S14" s="15" t="n">
        <v>-13.0546560155642</v>
      </c>
      <c r="T14" s="15" t="n">
        <v>-2.77317502034759</v>
      </c>
      <c r="U14" s="15" t="n">
        <v>-10.8930434975935</v>
      </c>
      <c r="V14" s="15" t="n">
        <v>10.1357641909932</v>
      </c>
      <c r="W14" s="15" t="n">
        <v>3.27889769532595</v>
      </c>
      <c r="X14" s="15" t="n">
        <v>-30.2650418088146</v>
      </c>
      <c r="Y14" s="15" t="n">
        <v>65.0519170046069</v>
      </c>
      <c r="Z14" s="15" t="n">
        <v>94.5325187950964</v>
      </c>
      <c r="AA14" s="15"/>
      <c r="AB14" s="15" t="n">
        <v>28.5057485027155</v>
      </c>
      <c r="AC14" s="15" t="n">
        <v>19.5310793704607</v>
      </c>
      <c r="AD14" s="15" t="n">
        <v>19.5310793704607</v>
      </c>
      <c r="AE14" s="15" t="n">
        <v>43.5004370153025</v>
      </c>
      <c r="AF14" s="15" t="n">
        <v>18.8430330117174</v>
      </c>
      <c r="AG14" s="15" t="n">
        <v>17.5111984819495</v>
      </c>
      <c r="AH14" s="15" t="n">
        <v>7.11660520078071</v>
      </c>
      <c r="AI14" s="15" t="n">
        <v>33.2909752661935</v>
      </c>
      <c r="AJ14" s="15" t="n">
        <v>33.2909752661935</v>
      </c>
      <c r="AK14" s="15" t="n">
        <v>12.7197336386036</v>
      </c>
      <c r="AL14" s="15" t="n">
        <v>15.7797465184591</v>
      </c>
      <c r="AM14" s="15" t="n">
        <v>-1.75261561797491</v>
      </c>
      <c r="AN14" s="15" t="n">
        <v>10.9597478512584</v>
      </c>
      <c r="AO14" s="15" t="n">
        <v>-32.2255318457904</v>
      </c>
      <c r="AP14" s="15" t="n">
        <v>-32.2255318457904</v>
      </c>
      <c r="AQ14" s="15" t="n">
        <v>-17.5419970212898</v>
      </c>
      <c r="AR14" s="15" t="n">
        <v>-6.72040894208321</v>
      </c>
      <c r="AS14" s="15" t="n">
        <v>-2.60132798338277</v>
      </c>
      <c r="AT14" s="15" t="n">
        <v>-18.1016414126614</v>
      </c>
      <c r="AU14" s="15" t="n">
        <v>17.5129040428226</v>
      </c>
      <c r="AV14" s="15" t="n">
        <v>15.1390173532454</v>
      </c>
      <c r="AW14" s="15"/>
      <c r="AX14" s="15" t="n">
        <v>4.53187991516854</v>
      </c>
      <c r="AY14" s="15" t="n">
        <v>64.535271949766</v>
      </c>
      <c r="AZ14" s="15" t="n">
        <v>90.1172893643627</v>
      </c>
      <c r="BA14" s="15" t="n">
        <v>32.9312530977187</v>
      </c>
      <c r="BB14" s="15" t="n">
        <v>51.6865287978751</v>
      </c>
      <c r="BC14" s="15" t="n">
        <v>82.7016397407456</v>
      </c>
      <c r="BD14" s="15" t="n">
        <v>47.8020329334376</v>
      </c>
      <c r="BE14" s="15"/>
      <c r="BF14" s="15" t="n">
        <v>26.4484040030188</v>
      </c>
      <c r="BG14" s="15" t="n">
        <v>60.9015298838692</v>
      </c>
      <c r="BH14" s="15" t="n">
        <v>57.8181845519183</v>
      </c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65"/>
    </row>
    <row r="15" customFormat="false" ht="15" hidden="false" customHeight="false" outlineLevel="0" collapsed="false">
      <c r="A15" s="160" t="n">
        <v>15</v>
      </c>
      <c r="B15" s="164" t="n">
        <v>-4.82010488977606</v>
      </c>
      <c r="C15" s="15" t="n">
        <v>-32.234989406464</v>
      </c>
      <c r="D15" s="15" t="n">
        <v>-7.93043377807715</v>
      </c>
      <c r="E15" s="15" t="n">
        <v>-3.94898190181575</v>
      </c>
      <c r="F15" s="15" t="n">
        <v>-3.62845862826961</v>
      </c>
      <c r="G15" s="15" t="n">
        <v>-11.8004091786249</v>
      </c>
      <c r="H15" s="15" t="n">
        <v>9.26165833581646</v>
      </c>
      <c r="I15" s="15" t="n">
        <v>-13.1239625827352</v>
      </c>
      <c r="J15" s="15" t="n">
        <v>-9.45965628379187</v>
      </c>
      <c r="K15" s="15" t="n">
        <v>20.2650137921418</v>
      </c>
      <c r="L15" s="15" t="n">
        <v>-0.650821008970475</v>
      </c>
      <c r="M15" s="15" t="n">
        <v>-0.651360978595044</v>
      </c>
      <c r="N15" s="15" t="n">
        <v>-9.51223533387424</v>
      </c>
      <c r="O15" s="15" t="n">
        <v>-9.66943252277284</v>
      </c>
      <c r="P15" s="15" t="n">
        <v>-8.27880936160476</v>
      </c>
      <c r="Q15" s="15" t="n">
        <v>3.53839397116203</v>
      </c>
      <c r="R15" s="15" t="n">
        <v>-23.2522621428318</v>
      </c>
      <c r="S15" s="15" t="n">
        <v>-23.2522621428318</v>
      </c>
      <c r="T15" s="15" t="n">
        <v>-13.921577182544</v>
      </c>
      <c r="U15" s="15" t="n">
        <v>-21.6181863031029</v>
      </c>
      <c r="V15" s="15" t="n">
        <v>-1.85031342608583</v>
      </c>
      <c r="W15" s="15" t="n">
        <v>-8.3428033157489</v>
      </c>
      <c r="X15" s="15" t="n">
        <v>-40.8070651557498</v>
      </c>
      <c r="Y15" s="15" t="n">
        <v>49.9178611963119</v>
      </c>
      <c r="Z15" s="15" t="n">
        <v>93.7480657759223</v>
      </c>
      <c r="AA15" s="15"/>
      <c r="AB15" s="15" t="n">
        <v>13.7407755801335</v>
      </c>
      <c r="AC15" s="15" t="n">
        <v>6.01507084016999</v>
      </c>
      <c r="AD15" s="15" t="n">
        <v>6.01507084016999</v>
      </c>
      <c r="AE15" s="15" t="n">
        <v>29.4277406893881</v>
      </c>
      <c r="AF15" s="15" t="n">
        <v>5.21929709500913</v>
      </c>
      <c r="AG15" s="15" t="n">
        <v>3.28464112576069</v>
      </c>
      <c r="AH15" s="15" t="n">
        <v>-5.22278439874974</v>
      </c>
      <c r="AI15" s="15" t="n">
        <v>18.5241617503699</v>
      </c>
      <c r="AJ15" s="15" t="n">
        <v>18.5241617503699</v>
      </c>
      <c r="AK15" s="15" t="n">
        <v>0.803744250427872</v>
      </c>
      <c r="AL15" s="15" t="n">
        <v>3.04116574419199</v>
      </c>
      <c r="AM15" s="15" t="n">
        <v>-13.5134999729419</v>
      </c>
      <c r="AN15" s="15" t="n">
        <v>-4.21059099959805</v>
      </c>
      <c r="AO15" s="15" t="n">
        <v>-42.4428582307291</v>
      </c>
      <c r="AP15" s="15" t="n">
        <v>-42.4428582307291</v>
      </c>
      <c r="AQ15" s="15" t="n">
        <v>-28.0227763156709</v>
      </c>
      <c r="AR15" s="15" t="n">
        <v>-20.4877974463125</v>
      </c>
      <c r="AS15" s="15" t="n">
        <v>-17.8218147440664</v>
      </c>
      <c r="AT15" s="15" t="n">
        <v>-30.0645332834085</v>
      </c>
      <c r="AU15" s="15" t="n">
        <v>2.2293692896531</v>
      </c>
      <c r="AV15" s="15"/>
      <c r="AW15" s="15"/>
      <c r="AX15" s="15" t="n">
        <v>-6.65661188405322</v>
      </c>
      <c r="AY15" s="15" t="n">
        <v>50.6370301067281</v>
      </c>
      <c r="AZ15" s="15" t="n">
        <v>84.9176162952396</v>
      </c>
      <c r="BA15" s="15"/>
      <c r="BB15" s="15" t="n">
        <v>38.7799277365579</v>
      </c>
      <c r="BC15" s="15" t="n">
        <v>72.8322078808067</v>
      </c>
      <c r="BD15" s="15" t="n">
        <v>31.2181064889915</v>
      </c>
      <c r="BE15" s="15"/>
      <c r="BF15" s="15" t="n">
        <v>13.810547272516</v>
      </c>
      <c r="BG15" s="15" t="n">
        <v>46.8418833790599</v>
      </c>
      <c r="BH15" s="15" t="n">
        <v>42.7580097088546</v>
      </c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65"/>
    </row>
    <row r="16" customFormat="false" ht="15" hidden="false" customHeight="false" outlineLevel="0" collapsed="false">
      <c r="A16" s="160" t="n">
        <v>16</v>
      </c>
      <c r="B16" s="164" t="n">
        <v>-16.8491953262353</v>
      </c>
      <c r="C16" s="15" t="n">
        <v>-39.9188216208572</v>
      </c>
      <c r="D16" s="15" t="n">
        <v>-18.3872595758504</v>
      </c>
      <c r="E16" s="15" t="n">
        <v>-9.53337540245436</v>
      </c>
      <c r="F16" s="15" t="n">
        <v>-14.3936400371496</v>
      </c>
      <c r="G16" s="15" t="n">
        <v>-21.2319228104135</v>
      </c>
      <c r="H16" s="15" t="n">
        <v>-2.82095623623265</v>
      </c>
      <c r="I16" s="15" t="n">
        <v>-22.774771417539</v>
      </c>
      <c r="J16" s="15" t="n">
        <v>-19.8350007345491</v>
      </c>
      <c r="K16" s="15" t="n">
        <v>6.58655791157015</v>
      </c>
      <c r="L16" s="15" t="n">
        <v>-11.8705661740558</v>
      </c>
      <c r="M16" s="15" t="n">
        <v>-11.8713761557512</v>
      </c>
      <c r="N16" s="15" t="n">
        <v>-19.4951640501316</v>
      </c>
      <c r="O16" s="15" t="n">
        <v>-19.6334465293601</v>
      </c>
      <c r="P16" s="15" t="n">
        <v>-18.382676067562</v>
      </c>
      <c r="Q16" s="15" t="n">
        <v>-8.12809186362425</v>
      </c>
      <c r="R16" s="15" t="n">
        <v>-31.8449472578292</v>
      </c>
      <c r="S16" s="15" t="n">
        <v>-31.8449472578292</v>
      </c>
      <c r="T16" s="15" t="n">
        <v>-23.3754194711229</v>
      </c>
      <c r="U16" s="15" t="n">
        <v>-30.5830972160959</v>
      </c>
      <c r="V16" s="15" t="n">
        <v>-12.2751967219661</v>
      </c>
      <c r="W16" s="15" t="n">
        <v>-18.3105063083235</v>
      </c>
      <c r="X16" s="15" t="n">
        <v>-48.7755531056764</v>
      </c>
      <c r="Y16" s="15" t="n">
        <v>35.9562004191862</v>
      </c>
      <c r="Z16" s="15" t="n">
        <v>83.2625061989334</v>
      </c>
      <c r="AA16" s="15"/>
      <c r="AB16" s="15" t="n">
        <v>0.912396642445941</v>
      </c>
      <c r="AC16" s="15" t="n">
        <v>-5.66512021600767</v>
      </c>
      <c r="AD16" s="15" t="n">
        <v>-5.66512021600767</v>
      </c>
      <c r="AE16" s="15" t="n">
        <v>16.7640203941057</v>
      </c>
      <c r="AF16" s="15" t="n">
        <v>-6.49558126066824</v>
      </c>
      <c r="AG16" s="15" t="n">
        <v>-8.87084067302192</v>
      </c>
      <c r="AH16" s="15" t="n">
        <v>-15.7148998635074</v>
      </c>
      <c r="AI16" s="15" t="n">
        <v>5.57847380049449</v>
      </c>
      <c r="AJ16" s="15" t="n">
        <v>5.57847380049449</v>
      </c>
      <c r="AK16" s="15" t="n">
        <v>-9.61388564084968</v>
      </c>
      <c r="AL16" s="15" t="n">
        <v>-8.03405295841993</v>
      </c>
      <c r="AM16" s="15" t="n">
        <v>-23.2647030720485</v>
      </c>
      <c r="AN16" s="15" t="n">
        <v>-16.847921245143</v>
      </c>
      <c r="AO16" s="15" t="n">
        <v>-50.1582284764409</v>
      </c>
      <c r="AP16" s="15" t="n">
        <v>-50.1582284764409</v>
      </c>
      <c r="AQ16" s="15" t="n">
        <v>-36.6245559407779</v>
      </c>
      <c r="AR16" s="15" t="n">
        <v>-31.6146833924271</v>
      </c>
      <c r="AS16" s="15" t="n">
        <v>-30.2063686458207</v>
      </c>
      <c r="AT16" s="15" t="n">
        <v>-39.5441234072826</v>
      </c>
      <c r="AU16" s="15" t="n">
        <v>-10.8988767004054</v>
      </c>
      <c r="AV16" s="15"/>
      <c r="AW16" s="15"/>
      <c r="AX16" s="15" t="n">
        <v>-16.3104911701648</v>
      </c>
      <c r="AY16" s="15" t="n">
        <v>37.6751398519743</v>
      </c>
      <c r="AZ16" s="15" t="n">
        <v>69.7459838003902</v>
      </c>
      <c r="BA16" s="15"/>
      <c r="BB16" s="15" t="n">
        <v>26.69368156816</v>
      </c>
      <c r="BC16" s="15" t="n">
        <v>58.2777785619724</v>
      </c>
      <c r="BD16" s="15" t="n">
        <v>16.3733040242605</v>
      </c>
      <c r="BE16" s="15"/>
      <c r="BF16" s="15" t="n">
        <v>2.4926979163423</v>
      </c>
      <c r="BG16" s="15" t="n">
        <v>33.9753659154256</v>
      </c>
      <c r="BH16" s="15" t="n">
        <v>29.0776681687442</v>
      </c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65"/>
    </row>
    <row r="17" customFormat="false" ht="15" hidden="false" customHeight="false" outlineLevel="0" collapsed="false">
      <c r="A17" s="160" t="n">
        <v>17</v>
      </c>
      <c r="B17" s="164" t="n">
        <v>-26.6315857182333</v>
      </c>
      <c r="C17" s="15" t="n">
        <v>-45.8456350738797</v>
      </c>
      <c r="D17" s="15" t="n">
        <v>-27.0983804972152</v>
      </c>
      <c r="E17" s="15" t="n">
        <v>-19.0856778934883</v>
      </c>
      <c r="F17" s="15" t="n">
        <v>-23.4387397992164</v>
      </c>
      <c r="G17" s="15" t="n">
        <v>-29.222253115594</v>
      </c>
      <c r="H17" s="15" t="n">
        <v>-13.1236010655458</v>
      </c>
      <c r="I17" s="15" t="n">
        <v>-30.9567526724484</v>
      </c>
      <c r="J17" s="15" t="n">
        <v>-28.4416750435389</v>
      </c>
      <c r="K17" s="15" t="n">
        <v>-5.20921975227083</v>
      </c>
      <c r="L17" s="15" t="n">
        <v>-21.5211400149435</v>
      </c>
      <c r="M17" s="15" t="n">
        <v>-21.5220930322616</v>
      </c>
      <c r="N17" s="15" t="n">
        <v>-27.9469104497647</v>
      </c>
      <c r="O17" s="15" t="n">
        <v>-28.0688746241155</v>
      </c>
      <c r="P17" s="15" t="n">
        <v>-26.9589293005252</v>
      </c>
      <c r="Q17" s="15" t="n">
        <v>-18.1483246063712</v>
      </c>
      <c r="R17" s="15" t="n">
        <v>-34.347667425071</v>
      </c>
      <c r="S17" s="15" t="n">
        <v>-34.347667425071</v>
      </c>
      <c r="T17" s="15" t="n">
        <v>-31.3958959483956</v>
      </c>
      <c r="U17" s="15" t="n">
        <v>-33.7417141906757</v>
      </c>
      <c r="V17" s="15" t="n">
        <v>-21.3020483139382</v>
      </c>
      <c r="W17" s="15" t="n">
        <v>-26.8405805510853</v>
      </c>
      <c r="X17" s="15" t="n">
        <v>-54.8416889872226</v>
      </c>
      <c r="Y17" s="15" t="n">
        <v>26.2318575019799</v>
      </c>
      <c r="Z17" s="15"/>
      <c r="AA17" s="15"/>
      <c r="AB17" s="15" t="n">
        <v>-10.0765082915997</v>
      </c>
      <c r="AC17" s="15" t="n">
        <v>-15.6590303735338</v>
      </c>
      <c r="AD17" s="15" t="n">
        <v>-15.6590303735338</v>
      </c>
      <c r="AE17" s="15" t="n">
        <v>8.18345844109336</v>
      </c>
      <c r="AF17" s="15" t="n">
        <v>-16.4654957369899</v>
      </c>
      <c r="AG17" s="15" t="n">
        <v>-19.1177235946901</v>
      </c>
      <c r="AH17" s="15" t="n">
        <v>-24.5907166843841</v>
      </c>
      <c r="AI17" s="15" t="n">
        <v>-5.61792438760735</v>
      </c>
      <c r="AJ17" s="15" t="n">
        <v>-5.61792438760735</v>
      </c>
      <c r="AK17" s="15" t="n">
        <v>-18.6894981291943</v>
      </c>
      <c r="AL17" s="15" t="n">
        <v>-17.5928847950293</v>
      </c>
      <c r="AM17" s="15" t="n">
        <v>-31.3323136377524</v>
      </c>
      <c r="AN17" s="15" t="n">
        <v>-27.1689328221213</v>
      </c>
      <c r="AO17" s="15" t="n">
        <v>-56.0460821523388</v>
      </c>
      <c r="AP17" s="15" t="n">
        <v>-56.0460821523388</v>
      </c>
      <c r="AQ17" s="15" t="n">
        <v>-41.0337684145492</v>
      </c>
      <c r="AR17" s="15" t="n">
        <v>-40.4420162462017</v>
      </c>
      <c r="AS17" s="15" t="n">
        <v>-40.0250793539381</v>
      </c>
      <c r="AT17" s="15" t="n">
        <v>-43.5092481934151</v>
      </c>
      <c r="AU17" s="15" t="n">
        <v>-21.9699493476807</v>
      </c>
      <c r="AV17" s="15"/>
      <c r="AW17" s="15"/>
      <c r="AX17" s="15" t="n">
        <v>-24.6445585321746</v>
      </c>
      <c r="AY17" s="15" t="n">
        <v>33.6370615091682</v>
      </c>
      <c r="AZ17" s="15" t="n">
        <v>63.6271737238361</v>
      </c>
      <c r="BA17" s="15"/>
      <c r="BB17" s="15" t="n">
        <v>25.8725241760112</v>
      </c>
      <c r="BC17" s="15" t="n">
        <v>50.7559641287685</v>
      </c>
      <c r="BD17" s="15" t="n">
        <v>3.32752323319555</v>
      </c>
      <c r="BE17" s="15"/>
      <c r="BF17" s="15" t="n">
        <v>-5.232146627156</v>
      </c>
      <c r="BG17" s="15" t="n">
        <v>25.6999805760165</v>
      </c>
      <c r="BH17" s="15" t="n">
        <v>19.7478310912003</v>
      </c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65"/>
    </row>
    <row r="18" customFormat="false" ht="15" hidden="false" customHeight="false" outlineLevel="0" collapsed="false">
      <c r="A18" s="160" t="n">
        <v>18</v>
      </c>
      <c r="B18" s="164" t="n">
        <v>-34.528994347588</v>
      </c>
      <c r="C18" s="15"/>
      <c r="D18" s="15" t="n">
        <v>-33.0279259882003</v>
      </c>
      <c r="E18" s="15" t="n">
        <v>-27.5781090131127</v>
      </c>
      <c r="F18" s="15" t="n">
        <v>-29.014095296795</v>
      </c>
      <c r="G18" s="15" t="n">
        <v>-32.6506913570141</v>
      </c>
      <c r="H18" s="15" t="n">
        <v>-19.0237944078155</v>
      </c>
      <c r="I18" s="15" t="n">
        <v>-34.5867605101453</v>
      </c>
      <c r="J18" s="15" t="n">
        <v>-34.6460959979704</v>
      </c>
      <c r="K18" s="15" t="n">
        <v>-13.4217853692697</v>
      </c>
      <c r="L18" s="15" t="n">
        <v>-23.1938214663211</v>
      </c>
      <c r="M18" s="15" t="n">
        <v>-23.1962844690149</v>
      </c>
      <c r="N18" s="15" t="n">
        <v>-31.2418794513262</v>
      </c>
      <c r="O18" s="15" t="n">
        <v>-31.3494156939431</v>
      </c>
      <c r="P18" s="15" t="n">
        <v>-29.9719350161565</v>
      </c>
      <c r="Q18" s="15" t="n">
        <v>-19.7926008790583</v>
      </c>
      <c r="R18" s="15"/>
      <c r="S18" s="15"/>
      <c r="T18" s="15" t="n">
        <v>-33.814039058854</v>
      </c>
      <c r="U18" s="15"/>
      <c r="V18" s="15" t="n">
        <v>-21.792576971063</v>
      </c>
      <c r="W18" s="15" t="n">
        <v>-28.6834454823356</v>
      </c>
      <c r="X18" s="15" t="n">
        <v>-57.4316381337838</v>
      </c>
      <c r="Y18" s="15"/>
      <c r="Z18" s="15"/>
      <c r="AA18" s="15"/>
      <c r="AB18" s="15" t="n">
        <v>-16.5550582184878</v>
      </c>
      <c r="AC18" s="15" t="n">
        <v>-20.1627308788386</v>
      </c>
      <c r="AD18" s="15" t="n">
        <v>-20.1627308788386</v>
      </c>
      <c r="AE18" s="15" t="n">
        <v>5.77322077267052</v>
      </c>
      <c r="AF18" s="15" t="n">
        <v>-21.881834306354</v>
      </c>
      <c r="AG18" s="15" t="n">
        <v>-26.2853204753674</v>
      </c>
      <c r="AH18" s="15" t="n">
        <v>-29.0465969000635</v>
      </c>
      <c r="AI18" s="15" t="n">
        <v>-11.0146012918018</v>
      </c>
      <c r="AJ18" s="15" t="n">
        <v>-11.0146012918018</v>
      </c>
      <c r="AK18" s="15" t="n">
        <v>-19.4820911859678</v>
      </c>
      <c r="AL18" s="15" t="n">
        <v>-19.4722971417782</v>
      </c>
      <c r="AM18" s="15" t="n">
        <v>-37.2772877046623</v>
      </c>
      <c r="AN18" s="15" t="n">
        <v>-35.5061940088828</v>
      </c>
      <c r="AO18" s="15" t="n">
        <v>-58.4036400841192</v>
      </c>
      <c r="AP18" s="15" t="n">
        <v>-58.4036400841192</v>
      </c>
      <c r="AQ18" s="15"/>
      <c r="AR18" s="15" t="n">
        <v>-47.4003819539739</v>
      </c>
      <c r="AS18" s="15" t="n">
        <v>-47.6869511240371</v>
      </c>
      <c r="AT18" s="15" t="n">
        <v>-47.0448253430276</v>
      </c>
      <c r="AU18" s="15" t="n">
        <v>-26.799713726258</v>
      </c>
      <c r="AV18" s="15"/>
      <c r="AW18" s="15"/>
      <c r="AX18" s="15" t="n">
        <v>-26.1661681874849</v>
      </c>
      <c r="AY18" s="15"/>
      <c r="AZ18" s="15"/>
      <c r="BA18" s="15"/>
      <c r="BB18" s="15"/>
      <c r="BC18" s="15"/>
      <c r="BD18" s="15" t="n">
        <v>-3.51000196449062</v>
      </c>
      <c r="BE18" s="15"/>
      <c r="BF18" s="15"/>
      <c r="BG18" s="15"/>
      <c r="BH18" s="15" t="n">
        <v>16.9060750091374</v>
      </c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65"/>
    </row>
    <row r="19" customFormat="false" ht="15" hidden="false" customHeight="false" outlineLevel="0" collapsed="false">
      <c r="A19" s="160" t="n">
        <v>19</v>
      </c>
      <c r="B19" s="164" t="n">
        <v>14.695889905</v>
      </c>
      <c r="C19" s="15" t="n">
        <v>14.695889905</v>
      </c>
      <c r="D19" s="15" t="n">
        <v>14.695889905</v>
      </c>
      <c r="E19" s="15" t="n">
        <v>14.695889905</v>
      </c>
      <c r="F19" s="15" t="n">
        <v>14.695889905</v>
      </c>
      <c r="G19" s="15" t="n">
        <v>14.695889905</v>
      </c>
      <c r="H19" s="15" t="n">
        <v>14.695889905</v>
      </c>
      <c r="I19" s="15" t="n">
        <v>14.695889905</v>
      </c>
      <c r="J19" s="15" t="n">
        <v>14.695889905</v>
      </c>
      <c r="K19" s="15" t="n">
        <v>14.695889905</v>
      </c>
      <c r="L19" s="15" t="n">
        <v>14.695889905</v>
      </c>
      <c r="M19" s="15" t="n">
        <v>14.695889905</v>
      </c>
      <c r="N19" s="15" t="n">
        <v>14.695889905</v>
      </c>
      <c r="O19" s="15" t="n">
        <v>14.695889905</v>
      </c>
      <c r="P19" s="15" t="n">
        <v>14.695889905</v>
      </c>
      <c r="Q19" s="15" t="n">
        <v>14.695889905</v>
      </c>
      <c r="R19" s="15" t="n">
        <v>14.695889905</v>
      </c>
      <c r="S19" s="15" t="n">
        <v>14.695889905</v>
      </c>
      <c r="T19" s="15" t="n">
        <v>14.695889905</v>
      </c>
      <c r="U19" s="15" t="n">
        <v>14.695889905</v>
      </c>
      <c r="V19" s="15" t="n">
        <v>14.695889905</v>
      </c>
      <c r="W19" s="15" t="n">
        <v>14.695889905</v>
      </c>
      <c r="X19" s="15" t="n">
        <v>14.695889905</v>
      </c>
      <c r="Y19" s="15" t="n">
        <v>14.695889905</v>
      </c>
      <c r="Z19" s="15" t="n">
        <v>14.695889905</v>
      </c>
      <c r="AA19" s="15" t="n">
        <v>14.695889905</v>
      </c>
      <c r="AB19" s="15" t="n">
        <v>14.695889905</v>
      </c>
      <c r="AC19" s="15" t="n">
        <v>14.695889905</v>
      </c>
      <c r="AD19" s="15" t="n">
        <v>14.695889905</v>
      </c>
      <c r="AE19" s="15" t="n">
        <v>14.695889905</v>
      </c>
      <c r="AF19" s="15" t="n">
        <v>14.695889905</v>
      </c>
      <c r="AG19" s="15" t="n">
        <v>14.695889905</v>
      </c>
      <c r="AH19" s="15" t="n">
        <v>14.695889905</v>
      </c>
      <c r="AI19" s="15" t="n">
        <v>14.695889905</v>
      </c>
      <c r="AJ19" s="15" t="n">
        <v>14.695889905</v>
      </c>
      <c r="AK19" s="15" t="n">
        <v>14.695889905</v>
      </c>
      <c r="AL19" s="15" t="n">
        <v>14.695889905</v>
      </c>
      <c r="AM19" s="15" t="n">
        <v>14.695889905</v>
      </c>
      <c r="AN19" s="15" t="n">
        <v>14.695889905</v>
      </c>
      <c r="AO19" s="15" t="n">
        <v>14.695889905</v>
      </c>
      <c r="AP19" s="15" t="n">
        <v>14.695889905</v>
      </c>
      <c r="AQ19" s="15" t="n">
        <v>14.695889905</v>
      </c>
      <c r="AR19" s="15" t="n">
        <v>14.695889905</v>
      </c>
      <c r="AS19" s="15" t="n">
        <v>14.695889905</v>
      </c>
      <c r="AT19" s="15" t="n">
        <v>14.695889905</v>
      </c>
      <c r="AU19" s="15" t="n">
        <v>14.695889905</v>
      </c>
      <c r="AV19" s="15" t="n">
        <v>14.695889905</v>
      </c>
      <c r="AW19" s="15" t="n">
        <v>-7.34802752375</v>
      </c>
      <c r="AX19" s="15" t="n">
        <v>14.695889905</v>
      </c>
      <c r="AY19" s="15" t="n">
        <v>14.695889905</v>
      </c>
      <c r="AZ19" s="15" t="n">
        <v>14.695889905</v>
      </c>
      <c r="BA19" s="15" t="n">
        <v>14.695889905</v>
      </c>
      <c r="BB19" s="15" t="n">
        <v>14.695889905</v>
      </c>
      <c r="BC19" s="15" t="n">
        <v>14.695889905</v>
      </c>
      <c r="BD19" s="15" t="n">
        <v>14.695889905</v>
      </c>
      <c r="BE19" s="15" t="n">
        <v>14.695889905</v>
      </c>
      <c r="BF19" s="15" t="n">
        <v>14.695889905</v>
      </c>
      <c r="BG19" s="15" t="n">
        <v>14.695889905</v>
      </c>
      <c r="BH19" s="15" t="n">
        <v>14.695889905</v>
      </c>
      <c r="BI19" s="15" t="n">
        <v>14.695889905</v>
      </c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65"/>
    </row>
    <row r="20" customFormat="false" ht="15" hidden="false" customHeight="false" outlineLevel="0" collapsed="false">
      <c r="A20" s="160" t="n">
        <v>20</v>
      </c>
      <c r="B20" s="164" t="n">
        <v>47.5266314171629</v>
      </c>
      <c r="C20" s="15" t="n">
        <v>47.5266314171629</v>
      </c>
      <c r="D20" s="15" t="n">
        <v>47.5266314171629</v>
      </c>
      <c r="E20" s="15" t="n">
        <v>47.5266314171629</v>
      </c>
      <c r="F20" s="15" t="n">
        <v>47.5266314171629</v>
      </c>
      <c r="G20" s="15" t="n">
        <v>47.5266314171629</v>
      </c>
      <c r="H20" s="15" t="n">
        <v>47.5266314171629</v>
      </c>
      <c r="I20" s="15" t="n">
        <v>47.5266314171629</v>
      </c>
      <c r="J20" s="15" t="n">
        <v>47.5266314171629</v>
      </c>
      <c r="K20" s="15" t="n">
        <v>47.5266314171629</v>
      </c>
      <c r="L20" s="15" t="n">
        <v>47.5266314171629</v>
      </c>
      <c r="M20" s="15" t="n">
        <v>47.5266314171629</v>
      </c>
      <c r="N20" s="15" t="n">
        <v>47.5266314171629</v>
      </c>
      <c r="O20" s="15" t="n">
        <v>47.5266314171629</v>
      </c>
      <c r="P20" s="15" t="n">
        <v>47.5266314171629</v>
      </c>
      <c r="Q20" s="15" t="n">
        <v>47.5266314171629</v>
      </c>
      <c r="R20" s="15" t="n">
        <v>47.5266314171629</v>
      </c>
      <c r="S20" s="15" t="n">
        <v>47.5266314171629</v>
      </c>
      <c r="T20" s="15" t="n">
        <v>47.5266314171629</v>
      </c>
      <c r="U20" s="15" t="n">
        <v>47.5266314171629</v>
      </c>
      <c r="V20" s="15" t="n">
        <v>47.5266314171629</v>
      </c>
      <c r="W20" s="15" t="n">
        <v>47.5266314171629</v>
      </c>
      <c r="X20" s="15" t="n">
        <v>47.5266314171629</v>
      </c>
      <c r="Y20" s="15" t="n">
        <v>47.5266314171629</v>
      </c>
      <c r="Z20" s="15" t="n">
        <v>47.5266314171629</v>
      </c>
      <c r="AA20" s="15" t="n">
        <v>47.5266314171629</v>
      </c>
      <c r="AB20" s="15" t="n">
        <v>47.5266314171629</v>
      </c>
      <c r="AC20" s="15" t="n">
        <v>47.5266314171629</v>
      </c>
      <c r="AD20" s="15" t="n">
        <v>47.5266314171629</v>
      </c>
      <c r="AE20" s="15" t="n">
        <v>47.5266314171629</v>
      </c>
      <c r="AF20" s="15" t="n">
        <v>47.5266314171629</v>
      </c>
      <c r="AG20" s="15" t="n">
        <v>47.5266314171629</v>
      </c>
      <c r="AH20" s="15" t="n">
        <v>47.5266314171629</v>
      </c>
      <c r="AI20" s="15" t="n">
        <v>47.5266314171629</v>
      </c>
      <c r="AJ20" s="15" t="n">
        <v>47.5266314171629</v>
      </c>
      <c r="AK20" s="15" t="n">
        <v>47.5266314171629</v>
      </c>
      <c r="AL20" s="15" t="n">
        <v>47.5266314171629</v>
      </c>
      <c r="AM20" s="15" t="n">
        <v>47.5266314171629</v>
      </c>
      <c r="AN20" s="15" t="n">
        <v>47.5266314171629</v>
      </c>
      <c r="AO20" s="15" t="n">
        <v>47.5266314171629</v>
      </c>
      <c r="AP20" s="15" t="n">
        <v>47.5266314171629</v>
      </c>
      <c r="AQ20" s="15" t="n">
        <v>47.5266314171629</v>
      </c>
      <c r="AR20" s="15" t="n">
        <v>47.5266314171629</v>
      </c>
      <c r="AS20" s="15" t="n">
        <v>47.5266314171629</v>
      </c>
      <c r="AT20" s="15" t="n">
        <v>47.5266314171629</v>
      </c>
      <c r="AU20" s="15" t="n">
        <v>47.5266314171629</v>
      </c>
      <c r="AV20" s="15" t="n">
        <v>47.5266314171629</v>
      </c>
      <c r="AW20" s="15" t="n">
        <v>0.859657854290727</v>
      </c>
      <c r="AX20" s="15" t="n">
        <v>47.5266314171629</v>
      </c>
      <c r="AY20" s="15" t="n">
        <v>47.5266314171629</v>
      </c>
      <c r="AZ20" s="15" t="n">
        <v>47.5266314171629</v>
      </c>
      <c r="BA20" s="15" t="n">
        <v>47.5266314171629</v>
      </c>
      <c r="BB20" s="15" t="n">
        <v>47.5266314171629</v>
      </c>
      <c r="BC20" s="15" t="n">
        <v>47.5266314171629</v>
      </c>
      <c r="BD20" s="15" t="n">
        <v>47.5266314171629</v>
      </c>
      <c r="BE20" s="15" t="n">
        <v>47.5266314171629</v>
      </c>
      <c r="BF20" s="15" t="n">
        <v>47.5266314171629</v>
      </c>
      <c r="BG20" s="15" t="n">
        <v>47.5266314171629</v>
      </c>
      <c r="BH20" s="15" t="n">
        <v>47.5266314171629</v>
      </c>
      <c r="BI20" s="15" t="n">
        <v>47.5266314171629</v>
      </c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65"/>
    </row>
    <row r="21" customFormat="false" ht="15.75" hidden="false" customHeight="true" outlineLevel="0" collapsed="false">
      <c r="A21" s="160" t="n">
        <v>21</v>
      </c>
      <c r="B21" s="164" t="n">
        <v>115.032118585729</v>
      </c>
      <c r="C21" s="15" t="n">
        <v>117.029311743818</v>
      </c>
      <c r="D21" s="15" t="n">
        <v>114.922580494667</v>
      </c>
      <c r="E21" s="15" t="n">
        <v>117.029311743818</v>
      </c>
      <c r="F21" s="15" t="n">
        <v>114.888601630314</v>
      </c>
      <c r="G21" s="15" t="n">
        <v>114.87301542258</v>
      </c>
      <c r="H21" s="15" t="n">
        <v>114.821825462708</v>
      </c>
      <c r="I21" s="15" t="n">
        <v>114.875918658119</v>
      </c>
      <c r="J21" s="15" t="n">
        <v>114.939769578626</v>
      </c>
      <c r="K21" s="15" t="n">
        <v>114.806645547463</v>
      </c>
      <c r="L21" s="15" t="n">
        <v>114.727554986539</v>
      </c>
      <c r="M21" s="15" t="n">
        <v>114.727602435203</v>
      </c>
      <c r="N21" s="15" t="n">
        <v>114.841009555144</v>
      </c>
      <c r="O21" s="15" t="n">
        <v>114.841347953847</v>
      </c>
      <c r="P21" s="15" t="n">
        <v>114.822998615977</v>
      </c>
      <c r="Q21" s="15" t="n">
        <v>114.685627331328</v>
      </c>
      <c r="R21" s="15" t="n">
        <v>117.029311743818</v>
      </c>
      <c r="S21" s="15" t="n">
        <v>117.029311743818</v>
      </c>
      <c r="T21" s="15" t="n">
        <v>114.827762025887</v>
      </c>
      <c r="U21" s="15" t="n">
        <v>117.029311743818</v>
      </c>
      <c r="V21" s="15" t="n">
        <v>114.702511931374</v>
      </c>
      <c r="W21" s="15" t="n">
        <v>114.783526969169</v>
      </c>
      <c r="X21" s="15" t="n">
        <v>117.029311743818</v>
      </c>
      <c r="Y21" s="15" t="n">
        <v>114.432509999171</v>
      </c>
      <c r="Z21" s="15" t="n">
        <v>113.873522360724</v>
      </c>
      <c r="AA21" s="15" t="n">
        <v>111.066217442596</v>
      </c>
      <c r="AB21" s="15" t="n">
        <v>114.80313588875</v>
      </c>
      <c r="AC21" s="15" t="n">
        <v>114.799176356384</v>
      </c>
      <c r="AD21" s="15" t="n">
        <v>114.799176356384</v>
      </c>
      <c r="AE21" s="15" t="n">
        <v>114.576146561349</v>
      </c>
      <c r="AF21" s="15" t="n">
        <v>114.829481788671</v>
      </c>
      <c r="AG21" s="15" t="n">
        <v>114.873034603893</v>
      </c>
      <c r="AH21" s="15" t="n">
        <v>114.862973997865</v>
      </c>
      <c r="AI21" s="15" t="n">
        <v>114.757298725712</v>
      </c>
      <c r="AJ21" s="15" t="n">
        <v>114.757298725712</v>
      </c>
      <c r="AK21" s="15" t="n">
        <v>114.719489385925</v>
      </c>
      <c r="AL21" s="15" t="n">
        <v>114.731232887724</v>
      </c>
      <c r="AM21" s="15" t="n">
        <v>114.965313484494</v>
      </c>
      <c r="AN21" s="15" t="n">
        <v>115.021246346863</v>
      </c>
      <c r="AO21" s="15" t="n">
        <v>117.029311743818</v>
      </c>
      <c r="AP21" s="15" t="n">
        <v>117.029311743818</v>
      </c>
      <c r="AQ21" s="15" t="n">
        <v>117.029311743818</v>
      </c>
      <c r="AR21" s="15" t="n">
        <v>115.077458092553</v>
      </c>
      <c r="AS21" s="15" t="n">
        <v>115.094642670767</v>
      </c>
      <c r="AT21" s="15" t="n">
        <v>117.029311743818</v>
      </c>
      <c r="AU21" s="15" t="n">
        <v>114.89573760285</v>
      </c>
      <c r="AV21" s="15" t="n">
        <v>114.108496806426</v>
      </c>
      <c r="AW21" s="15" t="n">
        <v>27.5886620750447</v>
      </c>
      <c r="AX21" s="15" t="n">
        <v>114.780333036264</v>
      </c>
      <c r="AY21" s="15" t="n">
        <v>114.291731843583</v>
      </c>
      <c r="AZ21" s="15" t="n">
        <v>114.196116654079</v>
      </c>
      <c r="BA21" s="15" t="n">
        <v>114.093727700009</v>
      </c>
      <c r="BB21" s="15" t="n">
        <v>114.217847994657</v>
      </c>
      <c r="BC21" s="15" t="n">
        <v>114.290581274445</v>
      </c>
      <c r="BD21" s="15" t="n">
        <v>114.706948196565</v>
      </c>
      <c r="BE21" s="15" t="n">
        <v>111.066217442596</v>
      </c>
      <c r="BF21" s="15" t="n">
        <v>114.559067420103</v>
      </c>
      <c r="BG21" s="15" t="n">
        <v>114.443700065142</v>
      </c>
      <c r="BH21" s="15" t="n">
        <v>114.529678174307</v>
      </c>
      <c r="BI21" s="15" t="n">
        <v>111.066217442596</v>
      </c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65"/>
    </row>
    <row r="22" customFormat="false" ht="15.75" hidden="false" customHeight="true" outlineLevel="0" collapsed="false">
      <c r="A22" s="160" t="n">
        <v>22</v>
      </c>
      <c r="B22" s="164" t="n">
        <v>250.160966598937</v>
      </c>
      <c r="C22" s="15" t="n">
        <v>257.497582295846</v>
      </c>
      <c r="D22" s="15" t="n">
        <v>249.146011294208</v>
      </c>
      <c r="E22" s="15" t="n">
        <v>255.146842255059</v>
      </c>
      <c r="F22" s="15" t="n">
        <v>248.916892993032</v>
      </c>
      <c r="G22" s="15" t="n">
        <v>248.619281430582</v>
      </c>
      <c r="H22" s="15" t="n">
        <v>248.557329361541</v>
      </c>
      <c r="I22" s="15" t="n">
        <v>248.646655585995</v>
      </c>
      <c r="J22" s="15" t="n">
        <v>249.270931279857</v>
      </c>
      <c r="K22" s="15" t="n">
        <v>248.594448907892</v>
      </c>
      <c r="L22" s="15" t="n">
        <v>247.692357371522</v>
      </c>
      <c r="M22" s="15" t="n">
        <v>247.692757081052</v>
      </c>
      <c r="N22" s="15" t="n">
        <v>248.435459440026</v>
      </c>
      <c r="O22" s="15" t="n">
        <v>248.435606314618</v>
      </c>
      <c r="P22" s="15" t="n">
        <v>248.309941351584</v>
      </c>
      <c r="Q22" s="15" t="n">
        <v>247.467933632757</v>
      </c>
      <c r="R22" s="15" t="n">
        <v>256.724544356579</v>
      </c>
      <c r="S22" s="15" t="n">
        <v>256.724544356579</v>
      </c>
      <c r="T22" s="15" t="n">
        <v>248.260179721466</v>
      </c>
      <c r="U22" s="15" t="n">
        <v>256.844598651045</v>
      </c>
      <c r="V22" s="15" t="n">
        <v>247.416245938683</v>
      </c>
      <c r="W22" s="15" t="n">
        <v>247.986396214056</v>
      </c>
      <c r="X22" s="15" t="n">
        <v>258.165991631516</v>
      </c>
      <c r="Y22" s="15" t="n">
        <v>245.90017703088</v>
      </c>
      <c r="Z22" s="15" t="n">
        <v>242.153475933256</v>
      </c>
      <c r="AA22" s="15" t="n">
        <v>224.357189314175</v>
      </c>
      <c r="AB22" s="15" t="n">
        <v>248.485253330064</v>
      </c>
      <c r="AC22" s="15" t="n">
        <v>248.324388103327</v>
      </c>
      <c r="AD22" s="15" t="n">
        <v>248.324388103327</v>
      </c>
      <c r="AE22" s="15" t="n">
        <v>246.785063390606</v>
      </c>
      <c r="AF22" s="15" t="n">
        <v>248.564594083157</v>
      </c>
      <c r="AG22" s="15" t="n">
        <v>248.933462316484</v>
      </c>
      <c r="AH22" s="15" t="n">
        <v>248.671028152547</v>
      </c>
      <c r="AI22" s="15" t="n">
        <v>248.158412212601</v>
      </c>
      <c r="AJ22" s="15" t="n">
        <v>248.158412212601</v>
      </c>
      <c r="AK22" s="15" t="n">
        <v>247.534981369883</v>
      </c>
      <c r="AL22" s="15" t="n">
        <v>247.726526081511</v>
      </c>
      <c r="AM22" s="15" t="n">
        <v>249.402094648406</v>
      </c>
      <c r="AN22" s="15" t="n">
        <v>250.105512115965</v>
      </c>
      <c r="AO22" s="15" t="n">
        <v>258.129566441529</v>
      </c>
      <c r="AP22" s="15" t="n">
        <v>258.129566441529</v>
      </c>
      <c r="AQ22" s="15" t="n">
        <v>257.105445528447</v>
      </c>
      <c r="AR22" s="15" t="n">
        <v>250.379527187357</v>
      </c>
      <c r="AS22" s="15" t="n">
        <v>250.605482266755</v>
      </c>
      <c r="AT22" s="15" t="n">
        <v>257.660429213012</v>
      </c>
      <c r="AU22" s="15" t="n">
        <v>249.151679363094</v>
      </c>
      <c r="AV22" s="15" t="n">
        <v>243.180991388467</v>
      </c>
      <c r="AW22" s="15" t="n">
        <v>100.245628541125</v>
      </c>
      <c r="AX22" s="15" t="n">
        <v>247.915478393076</v>
      </c>
      <c r="AY22" s="15" t="n">
        <v>244.754896674557</v>
      </c>
      <c r="AZ22" s="15" t="n">
        <v>244.452742534924</v>
      </c>
      <c r="BA22" s="15" t="n">
        <v>243.212864632309</v>
      </c>
      <c r="BB22" s="15" t="n">
        <v>244.03699771291</v>
      </c>
      <c r="BC22" s="15" t="n">
        <v>245.030922775268</v>
      </c>
      <c r="BD22" s="15" t="n">
        <v>247.946822932478</v>
      </c>
      <c r="BE22" s="15" t="n">
        <v>224.357189314175</v>
      </c>
      <c r="BF22" s="15" t="n">
        <v>246.442686428988</v>
      </c>
      <c r="BG22" s="15" t="n">
        <v>245.894468527142</v>
      </c>
      <c r="BH22" s="15" t="n">
        <v>246.591260426638</v>
      </c>
      <c r="BI22" s="15" t="n">
        <v>224.357189314175</v>
      </c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65"/>
    </row>
    <row r="23" customFormat="false" ht="15.75" hidden="false" customHeight="true" outlineLevel="0" collapsed="false">
      <c r="A23" s="160" t="n">
        <v>23</v>
      </c>
      <c r="B23" s="164" t="n">
        <v>509.627960421881</v>
      </c>
      <c r="C23" s="15" t="n">
        <v>525.325519280429</v>
      </c>
      <c r="D23" s="15" t="n">
        <v>503.455858484698</v>
      </c>
      <c r="E23" s="15" t="n">
        <v>506.925638848426</v>
      </c>
      <c r="F23" s="15" t="n">
        <v>502.504001802055</v>
      </c>
      <c r="G23" s="15" t="n">
        <v>499.913930619877</v>
      </c>
      <c r="H23" s="15" t="n">
        <v>501.634642864378</v>
      </c>
      <c r="I23" s="15" t="n">
        <v>500.123462378813</v>
      </c>
      <c r="J23" s="15" t="n">
        <v>504.037916080319</v>
      </c>
      <c r="K23" s="15" t="n">
        <v>502.755526840438</v>
      </c>
      <c r="L23" s="15" t="n">
        <v>496.570758598048</v>
      </c>
      <c r="M23" s="15" t="n">
        <v>496.572950808508</v>
      </c>
      <c r="N23" s="15" t="n">
        <v>499.416712939488</v>
      </c>
      <c r="O23" s="15" t="n">
        <v>499.402336143353</v>
      </c>
      <c r="P23" s="15" t="n">
        <v>498.876116775729</v>
      </c>
      <c r="Q23" s="15" t="n">
        <v>496.004014182624</v>
      </c>
      <c r="R23" s="15" t="n">
        <v>519.981841999933</v>
      </c>
      <c r="S23" s="15" t="n">
        <v>519.981841999933</v>
      </c>
      <c r="T23" s="15" t="n">
        <v>498.100021202154</v>
      </c>
      <c r="U23" s="15" t="n">
        <v>521.212667219268</v>
      </c>
      <c r="V23" s="15" t="n">
        <v>494.65374516332</v>
      </c>
      <c r="W23" s="15" t="n">
        <v>497.169755622219</v>
      </c>
      <c r="X23" s="15" t="n">
        <v>531.220496513188</v>
      </c>
      <c r="Y23" s="15" t="n">
        <v>490.327724461791</v>
      </c>
      <c r="Z23" s="15" t="n">
        <v>474.753035744672</v>
      </c>
      <c r="AA23" s="15" t="n">
        <v>405.862025056365</v>
      </c>
      <c r="AB23" s="15" t="n">
        <v>501.717820721373</v>
      </c>
      <c r="AC23" s="15" t="n">
        <v>500.135751018516</v>
      </c>
      <c r="AD23" s="15" t="n">
        <v>500.135751018516</v>
      </c>
      <c r="AE23" s="15" t="n">
        <v>493.473030991813</v>
      </c>
      <c r="AF23" s="15" t="n">
        <v>501.373609227364</v>
      </c>
      <c r="AG23" s="15" t="n">
        <v>503.446692151475</v>
      </c>
      <c r="AH23" s="15" t="n">
        <v>500.991162422788</v>
      </c>
      <c r="AI23" s="15" t="n">
        <v>500.225091084093</v>
      </c>
      <c r="AJ23" s="15" t="n">
        <v>500.225091084093</v>
      </c>
      <c r="AK23" s="15" t="n">
        <v>495.148984259262</v>
      </c>
      <c r="AL23" s="15" t="n">
        <v>496.719967888751</v>
      </c>
      <c r="AM23" s="15" t="n">
        <v>504.275487057405</v>
      </c>
      <c r="AN23" s="15" t="n">
        <v>509.552463575222</v>
      </c>
      <c r="AO23" s="15" t="n">
        <v>530.805186704554</v>
      </c>
      <c r="AP23" s="15" t="n">
        <v>530.805186704554</v>
      </c>
      <c r="AQ23" s="15" t="n">
        <v>523.002226124319</v>
      </c>
      <c r="AR23" s="15" t="n">
        <v>509.995779599729</v>
      </c>
      <c r="AS23" s="15" t="n">
        <v>511.739238588407</v>
      </c>
      <c r="AT23" s="15" t="n">
        <v>527.888411827693</v>
      </c>
      <c r="AU23" s="15" t="n">
        <v>504.869278757351</v>
      </c>
      <c r="AV23" s="15" t="n">
        <v>475.934164772081</v>
      </c>
      <c r="AW23" s="15" t="n">
        <v>297.747740196831</v>
      </c>
      <c r="AX23" s="15" t="n">
        <v>496.489709386696</v>
      </c>
      <c r="AY23" s="15" t="n">
        <v>484.300694849988</v>
      </c>
      <c r="AZ23" s="15" t="n">
        <v>485.096577290789</v>
      </c>
      <c r="BA23" s="15" t="n">
        <v>476.765860014125</v>
      </c>
      <c r="BB23" s="15" t="n">
        <v>480.028606836787</v>
      </c>
      <c r="BC23" s="15" t="n">
        <v>487.164546399801</v>
      </c>
      <c r="BD23" s="15" t="n">
        <v>500.22828128673</v>
      </c>
      <c r="BE23" s="15" t="n">
        <v>405.862025056365</v>
      </c>
      <c r="BF23" s="15" t="n">
        <v>490.601601181601</v>
      </c>
      <c r="BG23" s="15" t="n">
        <v>489.705506142136</v>
      </c>
      <c r="BH23" s="15" t="n">
        <v>493.420873311843</v>
      </c>
      <c r="BI23" s="15" t="n">
        <v>405.862025056365</v>
      </c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65"/>
    </row>
    <row r="24" customFormat="false" ht="15.75" hidden="false" customHeight="true" outlineLevel="0" collapsed="false">
      <c r="A24" s="160" t="n">
        <v>24</v>
      </c>
      <c r="B24" s="164" t="n">
        <v>778.572713794986</v>
      </c>
      <c r="C24" s="15" t="n">
        <v>683.855770547465</v>
      </c>
      <c r="D24" s="15" t="n">
        <v>749.935997499769</v>
      </c>
      <c r="E24" s="15" t="n">
        <v>676.782243580277</v>
      </c>
      <c r="F24" s="15" t="n">
        <v>758.959676518129</v>
      </c>
      <c r="G24" s="15" t="n">
        <v>725.006825156591</v>
      </c>
      <c r="H24" s="15" t="n">
        <v>794.158585607713</v>
      </c>
      <c r="I24" s="15" t="n">
        <v>730.290138857555</v>
      </c>
      <c r="J24" s="15" t="n">
        <v>747.245851014035</v>
      </c>
      <c r="K24" s="15" t="n">
        <v>831.646846303048</v>
      </c>
      <c r="L24" s="15" t="n">
        <v>780.075789689945</v>
      </c>
      <c r="M24" s="15" t="n">
        <v>780.079787734859</v>
      </c>
      <c r="N24" s="15" t="n">
        <v>741.2876882616</v>
      </c>
      <c r="O24" s="15" t="n">
        <v>740.7843667469</v>
      </c>
      <c r="P24" s="15" t="n">
        <v>745.305633099663</v>
      </c>
      <c r="Q24" s="15" t="n">
        <v>795.747437684068</v>
      </c>
      <c r="R24" s="15" t="n">
        <v>715.224954010218</v>
      </c>
      <c r="S24" s="15" t="n">
        <v>715.224954010218</v>
      </c>
      <c r="T24" s="15" t="n">
        <v>728.203252619363</v>
      </c>
      <c r="U24" s="15" t="n">
        <v>727.66154024852</v>
      </c>
      <c r="V24" s="15" t="n">
        <v>760.477492142058</v>
      </c>
      <c r="W24" s="15" t="n">
        <v>749.344833803529</v>
      </c>
      <c r="X24" s="15" t="n">
        <v>709.615758467325</v>
      </c>
      <c r="Y24" s="15" t="n">
        <v>877.975028932845</v>
      </c>
      <c r="Z24" s="15" t="n">
        <v>856.567573469747</v>
      </c>
      <c r="AA24" s="15" t="n">
        <v>660.353342032227</v>
      </c>
      <c r="AB24" s="15" t="n">
        <v>812.516458047903</v>
      </c>
      <c r="AC24" s="15" t="n">
        <v>785.962066709552</v>
      </c>
      <c r="AD24" s="15" t="n">
        <v>785.962066709552</v>
      </c>
      <c r="AE24" s="15" t="n">
        <v>829.292676276159</v>
      </c>
      <c r="AF24" s="15" t="n">
        <v>784.984576926931</v>
      </c>
      <c r="AG24" s="15" t="n">
        <v>791.380264391035</v>
      </c>
      <c r="AH24" s="15" t="n">
        <v>753.176145541637</v>
      </c>
      <c r="AI24" s="15" t="n">
        <v>819.557529760598</v>
      </c>
      <c r="AJ24" s="15" t="n">
        <v>819.557529760598</v>
      </c>
      <c r="AK24" s="15" t="n">
        <v>757.696949157104</v>
      </c>
      <c r="AL24" s="15" t="n">
        <v>775.795363266851</v>
      </c>
      <c r="AM24" s="15" t="n">
        <v>731.218231775531</v>
      </c>
      <c r="AN24" s="15" t="n">
        <v>790.055146993702</v>
      </c>
      <c r="AO24" s="15" t="n">
        <v>703.523029969021</v>
      </c>
      <c r="AP24" s="15" t="n">
        <v>703.523029969021</v>
      </c>
      <c r="AQ24" s="15" t="n">
        <v>718.637228360606</v>
      </c>
      <c r="AR24" s="15" t="n">
        <v>754.881729239058</v>
      </c>
      <c r="AS24" s="15" t="n">
        <v>776.404384775145</v>
      </c>
      <c r="AT24" s="15" t="n">
        <v>744.564878001648</v>
      </c>
      <c r="AU24" s="15" t="n">
        <v>809.389307143239</v>
      </c>
      <c r="AV24" s="15" t="n">
        <v>846.102024472583</v>
      </c>
      <c r="AW24" s="15" t="n">
        <v>500.436640359619</v>
      </c>
      <c r="AX24" s="15" t="n">
        <v>737.336964232115</v>
      </c>
      <c r="AY24" s="15" t="n">
        <v>864.137280578881</v>
      </c>
      <c r="AZ24" s="15" t="n">
        <v>891.561985098083</v>
      </c>
      <c r="BA24" s="15" t="n">
        <v>851.655537474135</v>
      </c>
      <c r="BB24" s="15" t="n">
        <v>844.948453606809</v>
      </c>
      <c r="BC24" s="15" t="n">
        <v>895.974859819757</v>
      </c>
      <c r="BD24" s="15" t="n">
        <v>866.01967281423</v>
      </c>
      <c r="BE24" s="15" t="n">
        <v>660.353342032227</v>
      </c>
      <c r="BF24" s="15" t="n">
        <v>793.667952466484</v>
      </c>
      <c r="BG24" s="15" t="n">
        <v>848.95958285476</v>
      </c>
      <c r="BH24" s="15" t="n">
        <v>859.891016924614</v>
      </c>
      <c r="BI24" s="15" t="n">
        <v>660.353342032227</v>
      </c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65"/>
    </row>
    <row r="25" customFormat="false" ht="15.75" hidden="false" customHeight="true" outlineLevel="0" collapsed="false">
      <c r="A25" s="160" t="n">
        <v>25</v>
      </c>
      <c r="B25" s="164" t="n">
        <v>968.031621923777</v>
      </c>
      <c r="C25" s="15" t="n">
        <v>971.050977620766</v>
      </c>
      <c r="D25" s="15" t="n">
        <v>938.129705832261</v>
      </c>
      <c r="E25" s="15" t="n">
        <v>887.669496790577</v>
      </c>
      <c r="F25" s="15" t="n">
        <v>935.550588884668</v>
      </c>
      <c r="G25" s="15" t="n">
        <v>919.793892008758</v>
      </c>
      <c r="H25" s="15" t="n">
        <v>937.147558489814</v>
      </c>
      <c r="I25" s="15" t="n">
        <v>921.298349300776</v>
      </c>
      <c r="J25" s="15" t="n">
        <v>940.118290227273</v>
      </c>
      <c r="K25" s="15" t="n">
        <v>946.560042677577</v>
      </c>
      <c r="L25" s="15" t="n">
        <v>914.497502224921</v>
      </c>
      <c r="M25" s="15" t="n">
        <v>914.506771328945</v>
      </c>
      <c r="N25" s="15" t="n">
        <v>920.347869884711</v>
      </c>
      <c r="O25" s="15" t="n">
        <v>920.213197600701</v>
      </c>
      <c r="P25" s="15" t="n">
        <v>918.794098831642</v>
      </c>
      <c r="Q25" s="15" t="n">
        <v>914.833256024438</v>
      </c>
      <c r="R25" s="15" t="n">
        <v>950.739649753145</v>
      </c>
      <c r="S25" s="15" t="n">
        <v>950.739649753145</v>
      </c>
      <c r="T25" s="15" t="n">
        <v>913.090382625998</v>
      </c>
      <c r="U25" s="15" t="n">
        <v>958.358443718675</v>
      </c>
      <c r="V25" s="15" t="n">
        <v>904.267106233171</v>
      </c>
      <c r="W25" s="15" t="n">
        <v>912.062023543042</v>
      </c>
      <c r="X25" s="15" t="n">
        <v>1003.93545259542</v>
      </c>
      <c r="Y25" s="15" t="n">
        <v>903.292354979121</v>
      </c>
      <c r="Z25" s="15" t="n">
        <v>962.900960548916</v>
      </c>
      <c r="AA25" s="15" t="n">
        <v>928.685515926528</v>
      </c>
      <c r="AB25" s="15" t="n">
        <v>939.902048405753</v>
      </c>
      <c r="AC25" s="15" t="n">
        <v>929.777782872285</v>
      </c>
      <c r="AD25" s="15" t="n">
        <v>929.777782872285</v>
      </c>
      <c r="AE25" s="15" t="n">
        <v>909.300754391611</v>
      </c>
      <c r="AF25" s="15" t="n">
        <v>934.673322168296</v>
      </c>
      <c r="AG25" s="15" t="n">
        <v>943.993739886031</v>
      </c>
      <c r="AH25" s="15" t="n">
        <v>928.401329301383</v>
      </c>
      <c r="AI25" s="15" t="n">
        <v>934.814064403175</v>
      </c>
      <c r="AJ25" s="15" t="n">
        <v>934.814064403175</v>
      </c>
      <c r="AK25" s="15" t="n">
        <v>905.621662239133</v>
      </c>
      <c r="AL25" s="15" t="n">
        <v>914.637466319952</v>
      </c>
      <c r="AM25" s="15" t="n">
        <v>938.628884081741</v>
      </c>
      <c r="AN25" s="15" t="n">
        <v>969.120780991514</v>
      </c>
      <c r="AO25" s="15" t="n">
        <v>1000.98697406776</v>
      </c>
      <c r="AP25" s="15" t="n">
        <v>1000.98697406776</v>
      </c>
      <c r="AQ25" s="15" t="n">
        <v>965.327025573871</v>
      </c>
      <c r="AR25" s="15" t="n">
        <v>965.829789569683</v>
      </c>
      <c r="AS25" s="15" t="n">
        <v>976.273952183995</v>
      </c>
      <c r="AT25" s="15" t="n">
        <v>992.472437656268</v>
      </c>
      <c r="AU25" s="15" t="n">
        <v>951.768881496825</v>
      </c>
      <c r="AV25" s="15" t="n">
        <v>851.201315354931</v>
      </c>
      <c r="AW25" s="15" t="n">
        <v>606.672573265872</v>
      </c>
      <c r="AX25" s="15" t="n">
        <v>907.643441381539</v>
      </c>
      <c r="AY25" s="15" t="n">
        <v>878.769536086302</v>
      </c>
      <c r="AZ25" s="15" t="n">
        <v>940.969685363889</v>
      </c>
      <c r="BA25" s="15" t="n">
        <v>872.074510070947</v>
      </c>
      <c r="BB25" s="15" t="n">
        <v>860.090985293214</v>
      </c>
      <c r="BC25" s="15" t="n">
        <v>912.747031376757</v>
      </c>
      <c r="BD25" s="15" t="n">
        <v>940.488616518602</v>
      </c>
      <c r="BE25" s="15" t="n">
        <v>928.685515926528</v>
      </c>
      <c r="BF25" s="15" t="n">
        <v>893.102193893936</v>
      </c>
      <c r="BG25" s="15" t="n">
        <v>897.647085189391</v>
      </c>
      <c r="BH25" s="15" t="n">
        <v>913.332739416585</v>
      </c>
      <c r="BI25" s="15" t="n">
        <v>928.685515926528</v>
      </c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65"/>
    </row>
    <row r="26" customFormat="false" ht="15.75" hidden="false" customHeight="true" outlineLevel="0" collapsed="false">
      <c r="A26" s="160" t="n">
        <v>26</v>
      </c>
      <c r="B26" s="164" t="n">
        <v>1588.08592060503</v>
      </c>
      <c r="C26" s="15" t="n">
        <v>1446.49576194863</v>
      </c>
      <c r="D26" s="15" t="n">
        <v>1484.78038117923</v>
      </c>
      <c r="E26" s="15" t="n">
        <v>1033.78704812441</v>
      </c>
      <c r="F26" s="15" t="n">
        <v>1484.25431268629</v>
      </c>
      <c r="G26" s="15" t="n">
        <v>1419.97192708916</v>
      </c>
      <c r="H26" s="15" t="n">
        <v>1512.20575127307</v>
      </c>
      <c r="I26" s="15" t="n">
        <v>1428.62320758736</v>
      </c>
      <c r="J26" s="15" t="n">
        <v>1488.11720950951</v>
      </c>
      <c r="K26" s="15" t="n">
        <v>1562.71773601333</v>
      </c>
      <c r="L26" s="15" t="n">
        <v>1442.51976130108</v>
      </c>
      <c r="M26" s="15" t="n">
        <v>1442.54636525629</v>
      </c>
      <c r="N26" s="15" t="n">
        <v>1432.62702077715</v>
      </c>
      <c r="O26" s="15" t="n">
        <v>1431.94035742448</v>
      </c>
      <c r="P26" s="15" t="n">
        <v>1431.34784782868</v>
      </c>
      <c r="Q26" s="15" t="n">
        <v>1452.07233989025</v>
      </c>
      <c r="R26" s="15" t="n">
        <v>1417.71846215018</v>
      </c>
      <c r="S26" s="15" t="n">
        <v>1417.71846215018</v>
      </c>
      <c r="T26" s="15" t="n">
        <v>1405.34564382301</v>
      </c>
      <c r="U26" s="15" t="n">
        <v>1445.19449143473</v>
      </c>
      <c r="V26" s="15" t="n">
        <v>1403.87234629783</v>
      </c>
      <c r="W26" s="15" t="n">
        <v>1415.24246279381</v>
      </c>
      <c r="X26" s="15" t="n">
        <v>1547.45557902916</v>
      </c>
      <c r="Y26" s="15" t="n">
        <v>1466.09731501719</v>
      </c>
      <c r="Z26" s="15" t="n">
        <v>1378.81177719176</v>
      </c>
      <c r="AA26" s="15" t="n">
        <v>963.84371224294</v>
      </c>
      <c r="AB26" s="15" t="n">
        <v>1531.54667685772</v>
      </c>
      <c r="AC26" s="15" t="n">
        <v>1486.93256823059</v>
      </c>
      <c r="AD26" s="15" t="n">
        <v>1486.93256823059</v>
      </c>
      <c r="AE26" s="15" t="n">
        <v>1456.99754005191</v>
      </c>
      <c r="AF26" s="15" t="n">
        <v>1499.50724640367</v>
      </c>
      <c r="AG26" s="15" t="n">
        <v>1529.62226621865</v>
      </c>
      <c r="AH26" s="15" t="n">
        <v>1461.68018689974</v>
      </c>
      <c r="AI26" s="15" t="n">
        <v>1521.61446099042</v>
      </c>
      <c r="AJ26" s="15" t="n">
        <v>1521.61446099042</v>
      </c>
      <c r="AK26" s="15" t="n">
        <v>1406.22284582328</v>
      </c>
      <c r="AL26" s="15" t="n">
        <v>1440.12292610978</v>
      </c>
      <c r="AM26" s="15" t="n">
        <v>1472.42239302075</v>
      </c>
      <c r="AN26" s="15" t="n">
        <v>1600.12714676032</v>
      </c>
      <c r="AO26" s="15" t="n">
        <v>1534.07401984191</v>
      </c>
      <c r="AP26" s="15" t="n">
        <v>1534.07401984191</v>
      </c>
      <c r="AQ26" s="15" t="n">
        <v>1456.19170299586</v>
      </c>
      <c r="AR26" s="15" t="n">
        <v>1564.41524091652</v>
      </c>
      <c r="AS26" s="15" t="n">
        <v>1611.31700236409</v>
      </c>
      <c r="AT26" s="15" t="n">
        <v>1547.32200389341</v>
      </c>
      <c r="AU26" s="15" t="n">
        <v>1563.92507829645</v>
      </c>
      <c r="AV26" s="15" t="n">
        <v>1303.5318831346</v>
      </c>
      <c r="AW26" s="15" t="n">
        <v>651.935168094978</v>
      </c>
      <c r="AX26" s="15" t="n">
        <v>1397.19055391449</v>
      </c>
      <c r="AY26" s="15" t="n">
        <v>1393.43639876201</v>
      </c>
      <c r="AZ26" s="15" t="n">
        <v>1463.24356842645</v>
      </c>
      <c r="BA26" s="15" t="n">
        <v>1326.6581240943</v>
      </c>
      <c r="BB26" s="15" t="n">
        <v>1336.22046342289</v>
      </c>
      <c r="BC26" s="15" t="n">
        <v>1462.51875964651</v>
      </c>
      <c r="BD26" s="15" t="n">
        <v>1565.06767789585</v>
      </c>
      <c r="BE26" s="15" t="n">
        <v>963.84371224294</v>
      </c>
      <c r="BF26" s="15" t="n">
        <v>1394.8725086144</v>
      </c>
      <c r="BG26" s="15" t="n">
        <v>1435.50212530447</v>
      </c>
      <c r="BH26" s="15" t="n">
        <v>1484.54562831779</v>
      </c>
      <c r="BI26" s="15" t="n">
        <v>963.84371224294</v>
      </c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65"/>
    </row>
    <row r="27" customFormat="false" ht="15.75" hidden="false" customHeight="true" outlineLevel="0" collapsed="false">
      <c r="A27" s="160" t="n">
        <v>27</v>
      </c>
      <c r="B27" s="164" t="n">
        <v>1733.08203358724</v>
      </c>
      <c r="C27" s="15" t="n">
        <v>1512.44369531321</v>
      </c>
      <c r="D27" s="15" t="n">
        <v>1608.16557113396</v>
      </c>
      <c r="E27" s="15" t="n">
        <v>1145.75440968215</v>
      </c>
      <c r="F27" s="15" t="n">
        <v>1612.77694774347</v>
      </c>
      <c r="G27" s="15" t="n">
        <v>1527.68566962557</v>
      </c>
      <c r="H27" s="15" t="n">
        <v>1660.98827615908</v>
      </c>
      <c r="I27" s="15" t="n">
        <v>1541.29545198453</v>
      </c>
      <c r="J27" s="15" t="n">
        <v>1610.04877773955</v>
      </c>
      <c r="K27" s="15" t="n">
        <v>1735.93382527857</v>
      </c>
      <c r="L27" s="15" t="n">
        <v>1578.94639327429</v>
      </c>
      <c r="M27" s="15" t="n">
        <v>1578.97698262545</v>
      </c>
      <c r="N27" s="15" t="n">
        <v>1549.04881946069</v>
      </c>
      <c r="O27" s="15" t="n">
        <v>1548.06346101374</v>
      </c>
      <c r="P27" s="15" t="n">
        <v>1549.7104836877</v>
      </c>
      <c r="Q27" s="15" t="n">
        <v>1594.84199779714</v>
      </c>
      <c r="R27" s="15" t="n">
        <v>1497.83334991253</v>
      </c>
      <c r="S27" s="15" t="n">
        <v>1497.83334991253</v>
      </c>
      <c r="T27" s="15" t="n">
        <v>1513.41219394465</v>
      </c>
      <c r="U27" s="15" t="n">
        <v>1531.33221916134</v>
      </c>
      <c r="V27" s="15" t="n">
        <v>1527.5657758404</v>
      </c>
      <c r="W27" s="15" t="n">
        <v>1534.05984278704</v>
      </c>
      <c r="X27" s="15" t="n">
        <v>1614.90400123302</v>
      </c>
      <c r="Y27" s="15" t="n">
        <v>1644.26271658686</v>
      </c>
      <c r="Z27" s="15" t="n">
        <v>1565.31341660154</v>
      </c>
      <c r="AA27" s="15" t="n">
        <v>1116.66165121011</v>
      </c>
      <c r="AB27" s="15" t="n">
        <v>1691.42138434594</v>
      </c>
      <c r="AC27" s="15" t="n">
        <v>1630.02979729674</v>
      </c>
      <c r="AD27" s="15" t="n">
        <v>1630.02979729674</v>
      </c>
      <c r="AE27" s="15" t="n">
        <v>1615.74292477999</v>
      </c>
      <c r="AF27" s="15" t="n">
        <v>1643.00989104738</v>
      </c>
      <c r="AG27" s="15" t="n">
        <v>1679.12289936451</v>
      </c>
      <c r="AH27" s="15" t="n">
        <v>1586.54491056575</v>
      </c>
      <c r="AI27" s="15" t="n">
        <v>1683.81386124817</v>
      </c>
      <c r="AJ27" s="15" t="n">
        <v>1683.81386124817</v>
      </c>
      <c r="AK27" s="15" t="n">
        <v>1530.35259912413</v>
      </c>
      <c r="AL27" s="15" t="n">
        <v>1574.1356085516</v>
      </c>
      <c r="AM27" s="15" t="n">
        <v>1584.66632324515</v>
      </c>
      <c r="AN27" s="15" t="n">
        <v>1753.99498560657</v>
      </c>
      <c r="AO27" s="15" t="n">
        <v>1597.41349925256</v>
      </c>
      <c r="AP27" s="15" t="n">
        <v>1597.41349925256</v>
      </c>
      <c r="AQ27" s="15" t="n">
        <v>1536.8922380647</v>
      </c>
      <c r="AR27" s="15" t="n">
        <v>1694.13077446304</v>
      </c>
      <c r="AS27" s="15" t="n">
        <v>1757.78452453912</v>
      </c>
      <c r="AT27" s="15" t="n">
        <v>1642.30567958814</v>
      </c>
      <c r="AU27" s="15" t="n">
        <v>1728.16058660943</v>
      </c>
      <c r="AV27" s="15" t="n">
        <v>1535.76532116051</v>
      </c>
      <c r="AW27" s="15" t="n">
        <v>658.377579130908</v>
      </c>
      <c r="AX27" s="15" t="n">
        <v>1510.27014534745</v>
      </c>
      <c r="AY27" s="15" t="n">
        <v>1555.38036032773</v>
      </c>
      <c r="AZ27" s="15" t="n">
        <v>1658.27220685643</v>
      </c>
      <c r="BA27" s="15" t="n">
        <v>1580.9163958878</v>
      </c>
      <c r="BB27" s="15" t="n">
        <v>1483.79911791967</v>
      </c>
      <c r="BC27" s="15" t="n">
        <v>1649.32070108808</v>
      </c>
      <c r="BD27" s="15" t="n">
        <v>1754.07340406352</v>
      </c>
      <c r="BE27" s="15" t="n">
        <v>1116.66165121011</v>
      </c>
      <c r="BF27" s="15" t="n">
        <v>1532.59448551627</v>
      </c>
      <c r="BG27" s="15" t="n">
        <v>1597.09370380161</v>
      </c>
      <c r="BH27" s="15" t="n">
        <v>1657.98915857648</v>
      </c>
      <c r="BI27" s="15" t="n">
        <v>1116.66165121011</v>
      </c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65"/>
    </row>
    <row r="28" customFormat="false" ht="15.75" hidden="false" customHeight="true" outlineLevel="0" collapsed="false">
      <c r="A28" s="160" t="n">
        <v>28</v>
      </c>
      <c r="B28" s="164" t="n">
        <v>1785.74845369627</v>
      </c>
      <c r="C28" s="15" t="n">
        <v>1517.35895364772</v>
      </c>
      <c r="D28" s="15" t="n">
        <v>1652.01311144056</v>
      </c>
      <c r="E28" s="15" t="n">
        <v>1225.54683424295</v>
      </c>
      <c r="F28" s="15" t="n">
        <v>1662.83914235294</v>
      </c>
      <c r="G28" s="15" t="n">
        <v>1563.8803187304</v>
      </c>
      <c r="H28" s="15" t="n">
        <v>1730.84514480009</v>
      </c>
      <c r="I28" s="15" t="n">
        <v>1581.73127397991</v>
      </c>
      <c r="J28" s="15" t="n">
        <v>1651.65863885533</v>
      </c>
      <c r="K28" s="15" t="n">
        <v>1828.32774801581</v>
      </c>
      <c r="L28" s="15" t="n">
        <v>1642.33198249056</v>
      </c>
      <c r="M28" s="15" t="n">
        <v>1642.36320816108</v>
      </c>
      <c r="N28" s="15" t="n">
        <v>1592.08529728552</v>
      </c>
      <c r="O28" s="15" t="n">
        <v>1590.85970073551</v>
      </c>
      <c r="P28" s="15" t="n">
        <v>1594.96754000182</v>
      </c>
      <c r="Q28" s="15" t="n">
        <v>1663.27895956513</v>
      </c>
      <c r="R28" s="15" t="n">
        <v>1511.11764475116</v>
      </c>
      <c r="S28" s="15" t="n">
        <v>1511.11764475116</v>
      </c>
      <c r="T28" s="15" t="n">
        <v>1550.5783894585</v>
      </c>
      <c r="U28" s="15" t="n">
        <v>1546.36369969209</v>
      </c>
      <c r="V28" s="15" t="n">
        <v>1582.34107673666</v>
      </c>
      <c r="W28" s="15" t="n">
        <v>1581.80108786835</v>
      </c>
      <c r="X28" s="15" t="n">
        <v>1616.04116624472</v>
      </c>
      <c r="Y28" s="15" t="n">
        <v>1758.06260268319</v>
      </c>
      <c r="Z28" s="15" t="n">
        <v>1701.22242003007</v>
      </c>
      <c r="AA28" s="15" t="n">
        <v>1229.42409441943</v>
      </c>
      <c r="AB28" s="15" t="n">
        <v>1771.43407407046</v>
      </c>
      <c r="AC28" s="15" t="n">
        <v>1696.61284259622</v>
      </c>
      <c r="AD28" s="15" t="n">
        <v>1696.61284259622</v>
      </c>
      <c r="AE28" s="15" t="n">
        <v>1706.40565778858</v>
      </c>
      <c r="AF28" s="15" t="n">
        <v>1708.2982890177</v>
      </c>
      <c r="AG28" s="15" t="n">
        <v>1746.36169343232</v>
      </c>
      <c r="AH28" s="15" t="n">
        <v>1635.73045828102</v>
      </c>
      <c r="AI28" s="15" t="n">
        <v>1768.58164782777</v>
      </c>
      <c r="AJ28" s="15" t="n">
        <v>1768.58164782777</v>
      </c>
      <c r="AK28" s="15" t="n">
        <v>1586.77181113118</v>
      </c>
      <c r="AL28" s="15" t="n">
        <v>1636.19461905309</v>
      </c>
      <c r="AM28" s="15" t="n">
        <v>1618.20082894467</v>
      </c>
      <c r="AN28" s="15" t="n">
        <v>1814.61714827573</v>
      </c>
      <c r="AO28" s="15" t="n">
        <v>1598.10824837823</v>
      </c>
      <c r="AP28" s="15" t="n">
        <v>1598.10824837823</v>
      </c>
      <c r="AQ28" s="15" t="n">
        <v>1547.03623776747</v>
      </c>
      <c r="AR28" s="15" t="n">
        <v>1729.76895978778</v>
      </c>
      <c r="AS28" s="15" t="n">
        <v>1804.64091677734</v>
      </c>
      <c r="AT28" s="15" t="n">
        <v>1653.67078779422</v>
      </c>
      <c r="AU28" s="15" t="n">
        <v>1807.08980384273</v>
      </c>
      <c r="AV28" s="15" t="n">
        <v>1584.40825911849</v>
      </c>
      <c r="AW28" s="15"/>
      <c r="AX28" s="15" t="n">
        <v>1555.45453628676</v>
      </c>
      <c r="AY28" s="15" t="n">
        <v>1659.04736855393</v>
      </c>
      <c r="AZ28" s="15" t="n">
        <v>1794.89539999524</v>
      </c>
      <c r="BA28" s="15" t="n">
        <v>1651.74936339024</v>
      </c>
      <c r="BB28" s="15" t="n">
        <v>1576.30413400774</v>
      </c>
      <c r="BC28" s="15" t="n">
        <v>1775.50210702494</v>
      </c>
      <c r="BD28" s="15" t="n">
        <v>1865.3293543567</v>
      </c>
      <c r="BE28" s="15" t="n">
        <v>1229.42409441943</v>
      </c>
      <c r="BF28" s="15" t="n">
        <v>1605.62991667464</v>
      </c>
      <c r="BG28" s="15" t="n">
        <v>1695.22791547657</v>
      </c>
      <c r="BH28" s="15" t="n">
        <v>1763.07884762112</v>
      </c>
      <c r="BI28" s="15" t="n">
        <v>1229.42409441943</v>
      </c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65"/>
    </row>
    <row r="29" customFormat="false" ht="15.75" hidden="false" customHeight="true" outlineLevel="0" collapsed="false">
      <c r="A29" s="160" t="n">
        <v>29</v>
      </c>
      <c r="B29" s="164" t="n">
        <v>1787.22566879028</v>
      </c>
      <c r="C29" s="15" t="n">
        <v>1508.56420576162</v>
      </c>
      <c r="D29" s="15" t="n">
        <v>1653.25752952655</v>
      </c>
      <c r="E29" s="15" t="n">
        <v>1277.20835878331</v>
      </c>
      <c r="F29" s="15" t="n">
        <v>1665.8043906267</v>
      </c>
      <c r="G29" s="15" t="n">
        <v>1564.57103648654</v>
      </c>
      <c r="H29" s="15" t="n">
        <v>1742.46637973783</v>
      </c>
      <c r="I29" s="15" t="n">
        <v>1583.15589832099</v>
      </c>
      <c r="J29" s="15" t="n">
        <v>1652.43198934571</v>
      </c>
      <c r="K29" s="15" t="n">
        <v>1854.98834515973</v>
      </c>
      <c r="L29" s="15" t="n">
        <v>1652.37005356905</v>
      </c>
      <c r="M29" s="15" t="n">
        <v>1652.40018090583</v>
      </c>
      <c r="N29" s="15" t="n">
        <v>1593.90373972724</v>
      </c>
      <c r="O29" s="15" t="n">
        <v>1592.62739499412</v>
      </c>
      <c r="P29" s="15" t="n">
        <v>1597.41272088116</v>
      </c>
      <c r="Q29" s="15" t="n">
        <v>1675.52068281561</v>
      </c>
      <c r="R29" s="15" t="n">
        <v>1508.78934503394</v>
      </c>
      <c r="S29" s="15" t="n">
        <v>1508.78934503394</v>
      </c>
      <c r="T29" s="15" t="n">
        <v>1551.43485547172</v>
      </c>
      <c r="U29" s="15" t="n">
        <v>1544.1973945859</v>
      </c>
      <c r="V29" s="15" t="n">
        <v>1589.54193104479</v>
      </c>
      <c r="W29" s="15" t="n">
        <v>1585.4474570945</v>
      </c>
      <c r="X29" s="15" t="n">
        <v>1590.08614279759</v>
      </c>
      <c r="Y29" s="15" t="n">
        <v>1816.91114504082</v>
      </c>
      <c r="Z29" s="15" t="n">
        <v>1790.91593168885</v>
      </c>
      <c r="AA29" s="15"/>
      <c r="AB29" s="15" t="n">
        <v>1788.95952762403</v>
      </c>
      <c r="AC29" s="15" t="n">
        <v>1707.35806702101</v>
      </c>
      <c r="AD29" s="15" t="n">
        <v>1707.35806702101</v>
      </c>
      <c r="AE29" s="15" t="n">
        <v>1741.87346154982</v>
      </c>
      <c r="AF29" s="15" t="n">
        <v>1717.65282064669</v>
      </c>
      <c r="AG29" s="15" t="n">
        <v>1755.04931581463</v>
      </c>
      <c r="AH29" s="15" t="n">
        <v>1638.96252916051</v>
      </c>
      <c r="AI29" s="15" t="n">
        <v>1791.44857030573</v>
      </c>
      <c r="AJ29" s="15" t="n">
        <v>1791.44857030573</v>
      </c>
      <c r="AK29" s="15" t="n">
        <v>1595.54150743113</v>
      </c>
      <c r="AL29" s="15" t="n">
        <v>1646.20354436689</v>
      </c>
      <c r="AM29" s="15" t="n">
        <v>1618.26268842903</v>
      </c>
      <c r="AN29" s="15" t="n">
        <v>1817.77518461925</v>
      </c>
      <c r="AO29" s="15" t="n">
        <v>1570.46868681871</v>
      </c>
      <c r="AP29" s="15" t="n">
        <v>1570.46868681871</v>
      </c>
      <c r="AQ29" s="15" t="n">
        <v>1541.82989943265</v>
      </c>
      <c r="AR29" s="15" t="n">
        <v>1729.69665437018</v>
      </c>
      <c r="AS29" s="15" t="n">
        <v>1804.77947476761</v>
      </c>
      <c r="AT29" s="15" t="n">
        <v>1646.23861634669</v>
      </c>
      <c r="AU29" s="15" t="n">
        <v>1820.57517095085</v>
      </c>
      <c r="AV29" s="15" t="n">
        <v>1582.38175540528</v>
      </c>
      <c r="AW29" s="15"/>
      <c r="AX29" s="15" t="n">
        <v>1559.01610960871</v>
      </c>
      <c r="AY29" s="15" t="n">
        <v>1713.58063211967</v>
      </c>
      <c r="AZ29" s="15" t="n">
        <v>1879.66868999311</v>
      </c>
      <c r="BA29" s="15" t="n">
        <v>1651.75969368222</v>
      </c>
      <c r="BB29" s="15" t="n">
        <v>1622.68563980552</v>
      </c>
      <c r="BC29" s="15" t="n">
        <v>1849.00192918254</v>
      </c>
      <c r="BD29" s="15" t="n">
        <v>1910.28604497624</v>
      </c>
      <c r="BE29" s="15"/>
      <c r="BF29" s="15" t="n">
        <v>1627.974682503</v>
      </c>
      <c r="BG29" s="15" t="n">
        <v>1741.30088107938</v>
      </c>
      <c r="BH29" s="15" t="n">
        <v>1811.06228157771</v>
      </c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65"/>
    </row>
    <row r="30" customFormat="false" ht="15.75" hidden="false" customHeight="true" outlineLevel="0" collapsed="false">
      <c r="A30" s="160" t="n">
        <v>30</v>
      </c>
      <c r="B30" s="164" t="n">
        <v>1769.53291436942</v>
      </c>
      <c r="C30" s="15" t="n">
        <v>1466.36516344995</v>
      </c>
      <c r="D30" s="15" t="n">
        <v>1639.17517701561</v>
      </c>
      <c r="E30" s="15" t="n">
        <v>1305.63679932922</v>
      </c>
      <c r="F30" s="15" t="n">
        <v>1655.92691035715</v>
      </c>
      <c r="G30" s="15" t="n">
        <v>1551.08809654851</v>
      </c>
      <c r="H30" s="15" t="n">
        <v>1739.89944463589</v>
      </c>
      <c r="I30" s="15" t="n">
        <v>1571.85128466871</v>
      </c>
      <c r="J30" s="15" t="n">
        <v>1636.39282742694</v>
      </c>
      <c r="K30" s="15" t="n">
        <v>1854.98522657874</v>
      </c>
      <c r="L30" s="15" t="n">
        <v>1649.67663788243</v>
      </c>
      <c r="M30" s="15" t="n">
        <v>1649.70575528196</v>
      </c>
      <c r="N30" s="15" t="n">
        <v>1583.02428919671</v>
      </c>
      <c r="O30" s="15" t="n">
        <v>1581.64796893145</v>
      </c>
      <c r="P30" s="15" t="n">
        <v>1587.85282712786</v>
      </c>
      <c r="Q30" s="15" t="n">
        <v>1673.52528049161</v>
      </c>
      <c r="R30" s="15" t="n">
        <v>1477.20652653128</v>
      </c>
      <c r="S30" s="15" t="n">
        <v>1477.20652653128</v>
      </c>
      <c r="T30" s="15" t="n">
        <v>1538.51002568317</v>
      </c>
      <c r="U30" s="15" t="n">
        <v>1511.04574741657</v>
      </c>
      <c r="V30" s="15" t="n">
        <v>1585.96434072868</v>
      </c>
      <c r="W30" s="15" t="n">
        <v>1578.26103275739</v>
      </c>
      <c r="X30" s="15" t="n">
        <v>1514.15075937793</v>
      </c>
      <c r="Y30" s="15" t="n">
        <v>1831.90253678901</v>
      </c>
      <c r="Z30" s="15" t="n">
        <v>1840.40862372734</v>
      </c>
      <c r="AA30" s="15"/>
      <c r="AB30" s="15" t="n">
        <v>1788.07914860376</v>
      </c>
      <c r="AC30" s="15" t="n">
        <v>1704.70177340748</v>
      </c>
      <c r="AD30" s="15" t="n">
        <v>1704.70177340748</v>
      </c>
      <c r="AE30" s="15" t="n">
        <v>1743.83701495205</v>
      </c>
      <c r="AF30" s="15" t="n">
        <v>1714.0397733807</v>
      </c>
      <c r="AG30" s="15" t="n">
        <v>1750.22696682735</v>
      </c>
      <c r="AH30" s="15" t="n">
        <v>1630.21420703805</v>
      </c>
      <c r="AI30" s="15" t="n">
        <v>1791.37659940339</v>
      </c>
      <c r="AJ30" s="15" t="n">
        <v>1791.37659940339</v>
      </c>
      <c r="AK30" s="15" t="n">
        <v>1593.16378870463</v>
      </c>
      <c r="AL30" s="15" t="n">
        <v>1643.76870613706</v>
      </c>
      <c r="AM30" s="15" t="n">
        <v>1597.96120267513</v>
      </c>
      <c r="AN30" s="15" t="n">
        <v>1803.66253523713</v>
      </c>
      <c r="AO30" s="15" t="n">
        <v>1494.5954559636</v>
      </c>
      <c r="AP30" s="15" t="n">
        <v>1494.5954559636</v>
      </c>
      <c r="AQ30" s="15" t="n">
        <v>1500.65147249902</v>
      </c>
      <c r="AR30" s="15" t="n">
        <v>1697.10560735947</v>
      </c>
      <c r="AS30" s="15" t="n">
        <v>1775.76678422717</v>
      </c>
      <c r="AT30" s="15" t="n">
        <v>1592.07372539173</v>
      </c>
      <c r="AU30" s="15" t="n">
        <v>1817.69793912862</v>
      </c>
      <c r="AV30" s="15" t="n">
        <v>1559.44529751022</v>
      </c>
      <c r="AW30" s="15"/>
      <c r="AX30" s="15" t="n">
        <v>1552.57534807058</v>
      </c>
      <c r="AY30" s="15" t="n">
        <v>1729.03916093507</v>
      </c>
      <c r="AZ30" s="15" t="n">
        <v>1920.62280041611</v>
      </c>
      <c r="BA30" s="15" t="n">
        <v>1639.44260203911</v>
      </c>
      <c r="BB30" s="15" t="n">
        <v>1633.14821948421</v>
      </c>
      <c r="BC30" s="15" t="n">
        <v>1879.10319080615</v>
      </c>
      <c r="BD30" s="15" t="n">
        <v>1912.95578578964</v>
      </c>
      <c r="BE30" s="15"/>
      <c r="BF30" s="15" t="n">
        <v>1628.02058666636</v>
      </c>
      <c r="BG30" s="15" t="n">
        <v>1749.06604891683</v>
      </c>
      <c r="BH30" s="15" t="n">
        <v>1817.71959323056</v>
      </c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65"/>
    </row>
    <row r="31" customFormat="false" ht="15.75" hidden="false" customHeight="true" outlineLevel="0" collapsed="false">
      <c r="A31" s="160" t="n">
        <v>31</v>
      </c>
      <c r="B31" s="164" t="n">
        <v>1709.04039095798</v>
      </c>
      <c r="C31" s="15" t="n">
        <v>1407.98608659824</v>
      </c>
      <c r="D31" s="15" t="n">
        <v>1591.32592050517</v>
      </c>
      <c r="E31" s="15" t="n">
        <v>1315.78418289508</v>
      </c>
      <c r="F31" s="15" t="n">
        <v>1612.72169649163</v>
      </c>
      <c r="G31" s="15" t="n">
        <v>1509.06197049674</v>
      </c>
      <c r="H31" s="15" t="n">
        <v>1706.93758279339</v>
      </c>
      <c r="I31" s="15" t="n">
        <v>1531.30482043122</v>
      </c>
      <c r="J31" s="15" t="n">
        <v>1586.41555809216</v>
      </c>
      <c r="K31" s="15" t="n">
        <v>1832.94532237021</v>
      </c>
      <c r="L31" s="15" t="n">
        <v>1618.52093941767</v>
      </c>
      <c r="M31" s="15" t="n">
        <v>1618.54617158227</v>
      </c>
      <c r="N31" s="15" t="n">
        <v>1541.57841185123</v>
      </c>
      <c r="O31" s="15" t="n">
        <v>1540.14544025372</v>
      </c>
      <c r="P31" s="15" t="n">
        <v>1547.76396850515</v>
      </c>
      <c r="Q31" s="15" t="n">
        <v>1643.04469176789</v>
      </c>
      <c r="R31" s="15" t="n">
        <v>1423.75355211278</v>
      </c>
      <c r="S31" s="15" t="n">
        <v>1423.75355211278</v>
      </c>
      <c r="T31" s="15" t="n">
        <v>1496.67021785437</v>
      </c>
      <c r="U31" s="15" t="n">
        <v>1453.89764905494</v>
      </c>
      <c r="V31" s="15" t="n">
        <v>1555.53672105009</v>
      </c>
      <c r="W31" s="15" t="n">
        <v>1542.05395976772</v>
      </c>
      <c r="X31" s="15" t="n">
        <v>1420.49120888708</v>
      </c>
      <c r="Y31" s="15" t="n">
        <v>1831.71359444396</v>
      </c>
      <c r="Z31" s="15" t="n">
        <v>1856.33669375033</v>
      </c>
      <c r="AA31" s="15"/>
      <c r="AB31" s="15" t="n">
        <v>1759.33006595291</v>
      </c>
      <c r="AC31" s="15" t="n">
        <v>1672.67391607127</v>
      </c>
      <c r="AD31" s="15" t="n">
        <v>1672.67391607127</v>
      </c>
      <c r="AE31" s="15" t="n">
        <v>1735.90695683841</v>
      </c>
      <c r="AF31" s="15" t="n">
        <v>1679.27004397638</v>
      </c>
      <c r="AG31" s="15" t="n">
        <v>1710.70248039711</v>
      </c>
      <c r="AH31" s="15" t="n">
        <v>1589.87043608711</v>
      </c>
      <c r="AI31" s="15" t="n">
        <v>1769.05821455637</v>
      </c>
      <c r="AJ31" s="15" t="n">
        <v>1769.05821455637</v>
      </c>
      <c r="AK31" s="15" t="n">
        <v>1566.11148679505</v>
      </c>
      <c r="AL31" s="15" t="n">
        <v>1614.25440877064</v>
      </c>
      <c r="AM31" s="15" t="n">
        <v>1546.44077144516</v>
      </c>
      <c r="AN31" s="15" t="n">
        <v>1744.93482355632</v>
      </c>
      <c r="AO31" s="15" t="n">
        <v>1402.68252163922</v>
      </c>
      <c r="AP31" s="15" t="n">
        <v>1402.68252163922</v>
      </c>
      <c r="AQ31" s="15" t="n">
        <v>1437.13694501937</v>
      </c>
      <c r="AR31" s="15" t="n">
        <v>1623.43166049653</v>
      </c>
      <c r="AS31" s="15" t="n">
        <v>1698.17580775036</v>
      </c>
      <c r="AT31" s="15" t="n">
        <v>1509.44545064189</v>
      </c>
      <c r="AU31" s="15" t="n">
        <v>1779.42142915027</v>
      </c>
      <c r="AV31" s="15" t="n">
        <v>1524.87016980215</v>
      </c>
      <c r="AW31" s="15"/>
      <c r="AX31" s="15" t="n">
        <v>1519.37910513609</v>
      </c>
      <c r="AY31" s="15" t="n">
        <v>1729.02787781006</v>
      </c>
      <c r="AZ31" s="15" t="n">
        <v>1927.75066046814</v>
      </c>
      <c r="BA31" s="15" t="n">
        <v>1611.04994259083</v>
      </c>
      <c r="BB31" s="15" t="n">
        <v>1632.68652899569</v>
      </c>
      <c r="BC31" s="15" t="n">
        <v>1881.14329880402</v>
      </c>
      <c r="BD31" s="15" t="n">
        <v>1903.07574653323</v>
      </c>
      <c r="BE31" s="15"/>
      <c r="BF31" s="15" t="n">
        <v>1613.76764340839</v>
      </c>
      <c r="BG31" s="15" t="n">
        <v>1747.34011555822</v>
      </c>
      <c r="BH31" s="15" t="n">
        <v>1814.58657326122</v>
      </c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65"/>
    </row>
    <row r="32" customFormat="false" ht="15.75" hidden="false" customHeight="true" outlineLevel="0" collapsed="false">
      <c r="A32" s="160" t="n">
        <v>32</v>
      </c>
      <c r="B32" s="164" t="n">
        <v>1625.84058670324</v>
      </c>
      <c r="C32" s="15" t="n">
        <v>1346.27041714086</v>
      </c>
      <c r="D32" s="15" t="n">
        <v>1525.85429206442</v>
      </c>
      <c r="E32" s="15" t="n">
        <v>1316.03009760858</v>
      </c>
      <c r="F32" s="15" t="n">
        <v>1550.15128197686</v>
      </c>
      <c r="G32" s="15" t="n">
        <v>1452.61135703214</v>
      </c>
      <c r="H32" s="15" t="n">
        <v>1648.57991561397</v>
      </c>
      <c r="I32" s="15" t="n">
        <v>1475.14812757512</v>
      </c>
      <c r="J32" s="15" t="n">
        <v>1519.40628848329</v>
      </c>
      <c r="K32" s="15" t="n">
        <v>1778.58108039812</v>
      </c>
      <c r="L32" s="15" t="n">
        <v>1564.19874634931</v>
      </c>
      <c r="M32" s="15" t="n">
        <v>1564.21935897339</v>
      </c>
      <c r="N32" s="15" t="n">
        <v>1483.28992590271</v>
      </c>
      <c r="O32" s="15" t="n">
        <v>1481.8784062386</v>
      </c>
      <c r="P32" s="15" t="n">
        <v>1490.16171050888</v>
      </c>
      <c r="Q32" s="15" t="n">
        <v>1587.62671959898</v>
      </c>
      <c r="R32" s="15" t="n">
        <v>1361.97949651924</v>
      </c>
      <c r="S32" s="15" t="n">
        <v>1361.97949651924</v>
      </c>
      <c r="T32" s="15" t="n">
        <v>1439.92439760061</v>
      </c>
      <c r="U32" s="15" t="n">
        <v>1387.68668821813</v>
      </c>
      <c r="V32" s="15" t="n">
        <v>1505.18008568263</v>
      </c>
      <c r="W32" s="15" t="n">
        <v>1488.05126514609</v>
      </c>
      <c r="X32" s="15" t="n">
        <v>1329.96787969595</v>
      </c>
      <c r="Y32" s="15" t="n">
        <v>1813.31054743797</v>
      </c>
      <c r="Z32" s="15" t="n">
        <v>1856.37226169388</v>
      </c>
      <c r="AA32" s="15"/>
      <c r="AB32" s="15" t="n">
        <v>1701.82785176862</v>
      </c>
      <c r="AC32" s="15" t="n">
        <v>1616.5443142218</v>
      </c>
      <c r="AD32" s="15" t="n">
        <v>1616.5443142218</v>
      </c>
      <c r="AE32" s="15" t="n">
        <v>1701.22231258096</v>
      </c>
      <c r="AF32" s="15" t="n">
        <v>1620.54588581335</v>
      </c>
      <c r="AG32" s="15" t="n">
        <v>1645.66274837343</v>
      </c>
      <c r="AH32" s="15" t="n">
        <v>1530.77148290504</v>
      </c>
      <c r="AI32" s="15" t="n">
        <v>1717.31866566628</v>
      </c>
      <c r="AJ32" s="15" t="n">
        <v>1717.31866566628</v>
      </c>
      <c r="AK32" s="15" t="n">
        <v>1519.12857717092</v>
      </c>
      <c r="AL32" s="15" t="n">
        <v>1562.48607966463</v>
      </c>
      <c r="AM32" s="15" t="n">
        <v>1480.742769689</v>
      </c>
      <c r="AN32" s="15" t="n">
        <v>1660.22259764217</v>
      </c>
      <c r="AO32" s="15" t="n">
        <v>1314.73138421683</v>
      </c>
      <c r="AP32" s="15" t="n">
        <v>1314.73138421683</v>
      </c>
      <c r="AQ32" s="15" t="n">
        <v>1366.99810736503</v>
      </c>
      <c r="AR32" s="15" t="n">
        <v>1531.81486249013</v>
      </c>
      <c r="AS32" s="15" t="n">
        <v>1596.85297197666</v>
      </c>
      <c r="AT32" s="15" t="n">
        <v>1419.79623222609</v>
      </c>
      <c r="AU32" s="15" t="n">
        <v>1710.84762433226</v>
      </c>
      <c r="AV32" s="15"/>
      <c r="AW32" s="15"/>
      <c r="AX32" s="15" t="n">
        <v>1469.56849954455</v>
      </c>
      <c r="AY32" s="15" t="n">
        <v>1714.99972362852</v>
      </c>
      <c r="AZ32" s="15" t="n">
        <v>1926.17577209224</v>
      </c>
      <c r="BA32" s="15"/>
      <c r="BB32" s="15" t="n">
        <v>1615.5162437142</v>
      </c>
      <c r="BC32" s="15" t="n">
        <v>1875.19157872297</v>
      </c>
      <c r="BD32" s="15" t="n">
        <v>1858.33378531465</v>
      </c>
      <c r="BE32" s="15"/>
      <c r="BF32" s="15" t="n">
        <v>1575.40396743974</v>
      </c>
      <c r="BG32" s="15" t="n">
        <v>1724.46986140584</v>
      </c>
      <c r="BH32" s="15" t="n">
        <v>1785.90375508896</v>
      </c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65"/>
    </row>
    <row r="33" customFormat="false" ht="15.75" hidden="false" customHeight="true" outlineLevel="0" collapsed="false">
      <c r="A33" s="160" t="n">
        <v>33</v>
      </c>
      <c r="B33" s="164" t="n">
        <v>1536.0745723507</v>
      </c>
      <c r="C33" s="15" t="n">
        <v>1287.20307968189</v>
      </c>
      <c r="D33" s="15" t="n">
        <v>1454.81071259365</v>
      </c>
      <c r="E33" s="15" t="n">
        <v>1312.16911241584</v>
      </c>
      <c r="F33" s="15" t="n">
        <v>1480.28736968473</v>
      </c>
      <c r="G33" s="15" t="n">
        <v>1391.40792210556</v>
      </c>
      <c r="H33" s="15" t="n">
        <v>1577.80215183243</v>
      </c>
      <c r="I33" s="15" t="n">
        <v>1413.44913550046</v>
      </c>
      <c r="J33" s="15" t="n">
        <v>1447.49748971638</v>
      </c>
      <c r="K33" s="15" t="n">
        <v>1705.8574638227</v>
      </c>
      <c r="L33" s="15" t="n">
        <v>1498.50115187658</v>
      </c>
      <c r="M33" s="15" t="n">
        <v>1498.51728704466</v>
      </c>
      <c r="N33" s="15" t="n">
        <v>1418.83302575174</v>
      </c>
      <c r="O33" s="15" t="n">
        <v>1417.49502584106</v>
      </c>
      <c r="P33" s="15" t="n">
        <v>1425.80340943495</v>
      </c>
      <c r="Q33" s="15" t="n">
        <v>1519.74271123612</v>
      </c>
      <c r="R33" s="15" t="n">
        <v>1299.40894774165</v>
      </c>
      <c r="S33" s="15" t="n">
        <v>1299.40894774165</v>
      </c>
      <c r="T33" s="15" t="n">
        <v>1378.12507663887</v>
      </c>
      <c r="U33" s="15" t="n">
        <v>1320.94268427941</v>
      </c>
      <c r="V33" s="15" t="n">
        <v>1445.2197296212</v>
      </c>
      <c r="W33" s="15" t="n">
        <v>1426.63627023503</v>
      </c>
      <c r="X33" s="15" t="n">
        <v>1251.81655260875</v>
      </c>
      <c r="Y33" s="15" t="n">
        <v>1771.51436510537</v>
      </c>
      <c r="Z33" s="15" t="n">
        <v>1850.20891725442</v>
      </c>
      <c r="AA33" s="15"/>
      <c r="AB33" s="15" t="n">
        <v>1629.18489800973</v>
      </c>
      <c r="AC33" s="15" t="n">
        <v>1548.64468545113</v>
      </c>
      <c r="AD33" s="15" t="n">
        <v>1548.64468545113</v>
      </c>
      <c r="AE33" s="15" t="n">
        <v>1648.45849437454</v>
      </c>
      <c r="AF33" s="15" t="n">
        <v>1550.55073150405</v>
      </c>
      <c r="AG33" s="15" t="n">
        <v>1569.0827476486</v>
      </c>
      <c r="AH33" s="15" t="n">
        <v>1464.28917412094</v>
      </c>
      <c r="AI33" s="15" t="n">
        <v>1649.14484321699</v>
      </c>
      <c r="AJ33" s="15" t="n">
        <v>1649.14484321699</v>
      </c>
      <c r="AK33" s="15" t="n">
        <v>1462.0737770778</v>
      </c>
      <c r="AL33" s="15" t="n">
        <v>1499.66897387022</v>
      </c>
      <c r="AM33" s="15" t="n">
        <v>1411.98790311423</v>
      </c>
      <c r="AN33" s="15" t="n">
        <v>1566.60288287372</v>
      </c>
      <c r="AO33" s="15" t="n">
        <v>1239.192059443</v>
      </c>
      <c r="AP33" s="15" t="n">
        <v>1239.192059443</v>
      </c>
      <c r="AQ33" s="15" t="n">
        <v>1298.70381432197</v>
      </c>
      <c r="AR33" s="15" t="n">
        <v>1438.71902543921</v>
      </c>
      <c r="AS33" s="15" t="n">
        <v>1491.12920017973</v>
      </c>
      <c r="AT33" s="15" t="n">
        <v>1335.42845565235</v>
      </c>
      <c r="AU33" s="15" t="n">
        <v>1627.47904794808</v>
      </c>
      <c r="AV33" s="15"/>
      <c r="AW33" s="15"/>
      <c r="AX33" s="15" t="n">
        <v>1412.50513492281</v>
      </c>
      <c r="AY33" s="15" t="n">
        <v>1679.94930052595</v>
      </c>
      <c r="AZ33" s="15" t="n">
        <v>1904.42289937406</v>
      </c>
      <c r="BA33" s="15"/>
      <c r="BB33" s="15" t="n">
        <v>1579.16750704873</v>
      </c>
      <c r="BC33" s="15" t="n">
        <v>1845.97696702191</v>
      </c>
      <c r="BD33" s="15" t="n">
        <v>1789.55461847141</v>
      </c>
      <c r="BE33" s="15"/>
      <c r="BF33" s="15" t="n">
        <v>1522.70176883125</v>
      </c>
      <c r="BG33" s="15" t="n">
        <v>1682.11904576447</v>
      </c>
      <c r="BH33" s="15" t="n">
        <v>1735.77181230252</v>
      </c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65"/>
    </row>
    <row r="34" customFormat="false" ht="15.75" hidden="false" customHeight="true" outlineLevel="0" collapsed="false">
      <c r="A34" s="160" t="n">
        <v>34</v>
      </c>
      <c r="B34" s="164" t="n">
        <v>1449.92599527907</v>
      </c>
      <c r="C34" s="15" t="n">
        <v>1237.20775639898</v>
      </c>
      <c r="D34" s="15" t="n">
        <v>1385.33128696121</v>
      </c>
      <c r="E34" s="15" t="n">
        <v>1289.1152168267</v>
      </c>
      <c r="F34" s="15" t="n">
        <v>1410.59555952536</v>
      </c>
      <c r="G34" s="15" t="n">
        <v>1330.89696769553</v>
      </c>
      <c r="H34" s="15" t="n">
        <v>1503.59206435838</v>
      </c>
      <c r="I34" s="15" t="n">
        <v>1352.0381245502</v>
      </c>
      <c r="J34" s="15" t="n">
        <v>1377.75451346202</v>
      </c>
      <c r="K34" s="15" t="n">
        <v>1625.46359720675</v>
      </c>
      <c r="L34" s="15" t="n">
        <v>1429.45403017124</v>
      </c>
      <c r="M34" s="15" t="n">
        <v>1429.46641125394</v>
      </c>
      <c r="N34" s="15" t="n">
        <v>1354.55403011541</v>
      </c>
      <c r="O34" s="15" t="n">
        <v>1353.31523427233</v>
      </c>
      <c r="P34" s="15" t="n">
        <v>1361.19620862974</v>
      </c>
      <c r="Q34" s="15" t="n">
        <v>1448.07131604566</v>
      </c>
      <c r="R34" s="15" t="n">
        <v>1279.57863521532</v>
      </c>
      <c r="S34" s="15" t="n">
        <v>1279.57863521532</v>
      </c>
      <c r="T34" s="15" t="n">
        <v>1316.88593726084</v>
      </c>
      <c r="U34" s="15" t="n">
        <v>1295.225280066</v>
      </c>
      <c r="V34" s="15" t="n">
        <v>1382.37618164581</v>
      </c>
      <c r="W34" s="15" t="n">
        <v>1364.14757861716</v>
      </c>
      <c r="X34" s="15" t="n">
        <v>1187.5365921026</v>
      </c>
      <c r="Y34" s="15" t="n">
        <v>1729.48104103243</v>
      </c>
      <c r="Z34" s="15"/>
      <c r="AA34" s="15"/>
      <c r="AB34" s="15" t="n">
        <v>1551.32089845112</v>
      </c>
      <c r="AC34" s="15" t="n">
        <v>1477.41023688224</v>
      </c>
      <c r="AD34" s="15" t="n">
        <v>1477.41023688224</v>
      </c>
      <c r="AE34" s="15" t="n">
        <v>1602.03746535194</v>
      </c>
      <c r="AF34" s="15" t="n">
        <v>1477.87531911342</v>
      </c>
      <c r="AG34" s="15" t="n">
        <v>1490.53453597175</v>
      </c>
      <c r="AH34" s="15" t="n">
        <v>1397.440156401</v>
      </c>
      <c r="AI34" s="15" t="n">
        <v>1574.19645897282</v>
      </c>
      <c r="AJ34" s="15" t="n">
        <v>1574.19645897282</v>
      </c>
      <c r="AK34" s="15" t="n">
        <v>1401.42895789682</v>
      </c>
      <c r="AL34" s="15" t="n">
        <v>1433.34916784622</v>
      </c>
      <c r="AM34" s="15" t="n">
        <v>1346.22379881506</v>
      </c>
      <c r="AN34" s="15" t="n">
        <v>1475.44647616695</v>
      </c>
      <c r="AO34" s="15" t="n">
        <v>1177.08511597901</v>
      </c>
      <c r="AP34" s="15" t="n">
        <v>1177.08511597901</v>
      </c>
      <c r="AQ34" s="15" t="n">
        <v>1260.40306211318</v>
      </c>
      <c r="AR34" s="15" t="n">
        <v>1353.56961424167</v>
      </c>
      <c r="AS34" s="15" t="n">
        <v>1393.22861884372</v>
      </c>
      <c r="AT34" s="15" t="n">
        <v>1296.98649584218</v>
      </c>
      <c r="AU34" s="15" t="n">
        <v>1540.65079444115</v>
      </c>
      <c r="AV34" s="15"/>
      <c r="AW34" s="15"/>
      <c r="AX34" s="15" t="n">
        <v>1353.8571600078</v>
      </c>
      <c r="AY34" s="15" t="n">
        <v>1665.07845386798</v>
      </c>
      <c r="AZ34" s="15" t="n">
        <v>1888.81910116839</v>
      </c>
      <c r="BA34" s="15"/>
      <c r="BB34" s="15" t="n">
        <v>1576.0510064647</v>
      </c>
      <c r="BC34" s="15" t="n">
        <v>1821.98644971882</v>
      </c>
      <c r="BD34" s="15" t="n">
        <v>1708.00813779147</v>
      </c>
      <c r="BE34" s="15"/>
      <c r="BF34" s="15" t="n">
        <v>1477.71957072882</v>
      </c>
      <c r="BG34" s="15" t="n">
        <v>1645.0003781669</v>
      </c>
      <c r="BH34" s="15" t="n">
        <v>1689.42217610583</v>
      </c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65"/>
    </row>
    <row r="35" customFormat="false" ht="15.75" hidden="false" customHeight="true" outlineLevel="0" collapsed="false">
      <c r="A35" s="160" t="n">
        <v>35</v>
      </c>
      <c r="B35" s="164" t="n">
        <v>1372.47805748656</v>
      </c>
      <c r="C35" s="15"/>
      <c r="D35" s="15" t="n">
        <v>1333.22180398693</v>
      </c>
      <c r="E35" s="15" t="n">
        <v>1253.26499080587</v>
      </c>
      <c r="F35" s="15" t="n">
        <v>1363.10407614526</v>
      </c>
      <c r="G35" s="15" t="n">
        <v>1302.75048559129</v>
      </c>
      <c r="H35" s="15" t="n">
        <v>1455.78300137283</v>
      </c>
      <c r="I35" s="15" t="n">
        <v>1322.39181597089</v>
      </c>
      <c r="J35" s="15" t="n">
        <v>1322.3882275784</v>
      </c>
      <c r="K35" s="15" t="n">
        <v>1560.41903621457</v>
      </c>
      <c r="L35" s="15" t="n">
        <v>1416.39878357205</v>
      </c>
      <c r="M35" s="15" t="n">
        <v>1416.3987496923</v>
      </c>
      <c r="N35" s="15" t="n">
        <v>1327.31630338259</v>
      </c>
      <c r="O35" s="15" t="n">
        <v>1326.19277621824</v>
      </c>
      <c r="P35" s="15" t="n">
        <v>1336.52816255553</v>
      </c>
      <c r="Q35" s="15" t="n">
        <v>1435.21836785426</v>
      </c>
      <c r="R35" s="15"/>
      <c r="S35" s="15"/>
      <c r="T35" s="15" t="n">
        <v>1296.99630231302</v>
      </c>
      <c r="U35" s="15"/>
      <c r="V35" s="15" t="n">
        <v>1378.69400157748</v>
      </c>
      <c r="W35" s="15" t="n">
        <v>1349.55565816285</v>
      </c>
      <c r="X35" s="15" t="n">
        <v>1159.08150047791</v>
      </c>
      <c r="Y35" s="15"/>
      <c r="Z35" s="15"/>
      <c r="AA35" s="15"/>
      <c r="AB35" s="15" t="n">
        <v>1499.1181508608</v>
      </c>
      <c r="AC35" s="15" t="n">
        <v>1441.65662439972</v>
      </c>
      <c r="AD35" s="15" t="n">
        <v>1441.65662439972</v>
      </c>
      <c r="AE35" s="15" t="n">
        <v>1587.5389898992</v>
      </c>
      <c r="AF35" s="15" t="n">
        <v>1433.74241599518</v>
      </c>
      <c r="AG35" s="15" t="n">
        <v>1428.58047316246</v>
      </c>
      <c r="AH35" s="15" t="n">
        <v>1360.55585563579</v>
      </c>
      <c r="AI35" s="15" t="n">
        <v>1533.12282072615</v>
      </c>
      <c r="AJ35" s="15" t="n">
        <v>1533.12282072615</v>
      </c>
      <c r="AK35" s="15" t="n">
        <v>1395.68744268301</v>
      </c>
      <c r="AL35" s="15" t="n">
        <v>1419.09388586625</v>
      </c>
      <c r="AM35" s="15" t="n">
        <v>1293.20085496759</v>
      </c>
      <c r="AN35" s="15" t="n">
        <v>1392.87605046557</v>
      </c>
      <c r="AO35" s="15" t="n">
        <v>1151.35644830453</v>
      </c>
      <c r="AP35" s="15" t="n">
        <v>1151.35644830453</v>
      </c>
      <c r="AQ35" s="15"/>
      <c r="AR35" s="15" t="n">
        <v>1280.10542325062</v>
      </c>
      <c r="AS35" s="15" t="n">
        <v>1308.86226559221</v>
      </c>
      <c r="AT35" s="15" t="n">
        <v>1261.30681901994</v>
      </c>
      <c r="AU35" s="15" t="n">
        <v>1498.31624218118</v>
      </c>
      <c r="AV35" s="15"/>
      <c r="AW35" s="15"/>
      <c r="AX35" s="15" t="n">
        <v>1342.29681940958</v>
      </c>
      <c r="AY35" s="15"/>
      <c r="AZ35" s="15"/>
      <c r="BA35" s="15"/>
      <c r="BB35" s="15"/>
      <c r="BC35" s="15"/>
      <c r="BD35" s="15" t="n">
        <v>1657.77882683539</v>
      </c>
      <c r="BE35" s="15"/>
      <c r="BF35" s="15"/>
      <c r="BG35" s="15"/>
      <c r="BH35" s="15" t="n">
        <v>1673.44970938697</v>
      </c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65"/>
    </row>
    <row r="36" customFormat="false" ht="15.75" hidden="false" customHeight="true" outlineLevel="0" collapsed="false">
      <c r="A36" s="160" t="n">
        <v>36</v>
      </c>
      <c r="B36" s="164" t="n">
        <v>7.6561763237881</v>
      </c>
      <c r="C36" s="15" t="n">
        <v>-1.2780818000917</v>
      </c>
      <c r="D36" s="15" t="n">
        <v>75.6834337204179</v>
      </c>
      <c r="E36" s="15" t="n">
        <v>-1.3428781350454</v>
      </c>
      <c r="F36" s="15" t="n">
        <v>79.9172602500156</v>
      </c>
      <c r="G36" s="15" t="n">
        <v>79.0953254304999</v>
      </c>
      <c r="H36" s="15" t="n">
        <v>78.0763482205855</v>
      </c>
      <c r="I36" s="15" t="n">
        <v>76.0908598746099</v>
      </c>
      <c r="J36" s="15" t="n">
        <v>77.2550793211202</v>
      </c>
      <c r="K36" s="15" t="n">
        <v>57.1741552947032</v>
      </c>
      <c r="L36" s="15" t="n">
        <v>1137.986725567</v>
      </c>
      <c r="M36" s="15" t="n">
        <v>1137.89191602113</v>
      </c>
      <c r="N36" s="15" t="n">
        <v>962.342301992486</v>
      </c>
      <c r="O36" s="15" t="n">
        <v>-0.741371169910599</v>
      </c>
      <c r="P36" s="15" t="n">
        <v>963.356360050745</v>
      </c>
      <c r="Q36" s="15" t="n">
        <v>169.503363110942</v>
      </c>
      <c r="R36" s="15" t="n">
        <v>931.209429324571</v>
      </c>
      <c r="S36" s="15" t="n">
        <v>961.21517588566</v>
      </c>
      <c r="T36" s="15" t="n">
        <v>950.860787038263</v>
      </c>
      <c r="U36" s="15" t="n">
        <v>31.3765275391199</v>
      </c>
      <c r="V36" s="15" t="n">
        <v>974.466348175679</v>
      </c>
      <c r="W36" s="15" t="n">
        <v>1023.47373472406</v>
      </c>
      <c r="X36" s="15" t="n">
        <v>-1.0263448451155</v>
      </c>
      <c r="Y36" s="15" t="n">
        <v>56.4374473111294</v>
      </c>
      <c r="Z36" s="15" t="n">
        <v>62.5879731657529</v>
      </c>
      <c r="AA36" s="15" t="n">
        <v>65.3</v>
      </c>
      <c r="AB36" s="15" t="n">
        <v>77.7391822175048</v>
      </c>
      <c r="AC36" s="15" t="n">
        <v>32.6303692212669</v>
      </c>
      <c r="AD36" s="15" t="n">
        <v>62.2074506929402</v>
      </c>
      <c r="AE36" s="15" t="n">
        <v>65.6037823893195</v>
      </c>
      <c r="AF36" s="15" t="n">
        <v>64.8285223220425</v>
      </c>
      <c r="AG36" s="15" t="n">
        <v>51.806085676504</v>
      </c>
      <c r="AH36" s="15" t="n">
        <v>54.9057037655324</v>
      </c>
      <c r="AI36" s="15" t="n">
        <v>72.2701735366163</v>
      </c>
      <c r="AJ36" s="15" t="n">
        <v>71.9335211499817</v>
      </c>
      <c r="AK36" s="15" t="n">
        <v>54.8052915715093</v>
      </c>
      <c r="AL36" s="15" t="n">
        <v>67.2916443128791</v>
      </c>
      <c r="AM36" s="15" t="n">
        <v>39.9667374019693</v>
      </c>
      <c r="AN36" s="15" t="n">
        <v>1.9846112499955</v>
      </c>
      <c r="AO36" s="15" t="n">
        <v>1057.40043367776</v>
      </c>
      <c r="AP36" s="15" t="n">
        <v>1058.1447571181</v>
      </c>
      <c r="AQ36" s="15" t="n">
        <v>958.357708345714</v>
      </c>
      <c r="AR36" s="15" t="n">
        <v>36.3619260629611</v>
      </c>
      <c r="AS36" s="15" t="n">
        <v>34.8570783675895</v>
      </c>
      <c r="AT36" s="15" t="n">
        <v>1066.85375682149</v>
      </c>
      <c r="AU36" s="15" t="n">
        <v>996.076796584</v>
      </c>
      <c r="AV36" s="15" t="n">
        <v>1064.16716495236</v>
      </c>
      <c r="AW36" s="15" t="n">
        <v>-1.6418154724183</v>
      </c>
      <c r="AX36" s="15" t="n">
        <v>62.0475360866855</v>
      </c>
      <c r="AY36" s="15" t="n">
        <v>45.3657130651393</v>
      </c>
      <c r="AZ36" s="15" t="n">
        <v>49.1645241642939</v>
      </c>
      <c r="BA36" s="15" t="n">
        <v>51.2651908970752</v>
      </c>
      <c r="BB36" s="15" t="n">
        <v>51.9407443036375</v>
      </c>
      <c r="BC36" s="15" t="n">
        <v>47.4874120252386</v>
      </c>
      <c r="BD36" s="15" t="n">
        <v>49.4920752716389</v>
      </c>
      <c r="BE36" s="15" t="n">
        <v>65.3</v>
      </c>
      <c r="BF36" s="15" t="n">
        <v>55.855804925251</v>
      </c>
      <c r="BG36" s="15" t="n">
        <v>45.9821671175185</v>
      </c>
      <c r="BH36" s="15" t="n">
        <v>83.0599473820053</v>
      </c>
      <c r="BI36" s="15" t="n">
        <v>65.3</v>
      </c>
      <c r="BJ36" s="15" t="n">
        <v>-14.7</v>
      </c>
      <c r="BK36" s="15" t="n">
        <v>-14.7</v>
      </c>
      <c r="BL36" s="15" t="n">
        <v>-14.7</v>
      </c>
      <c r="BM36" s="15" t="n">
        <v>-14.7</v>
      </c>
      <c r="BN36" s="15" t="n">
        <v>-14.7</v>
      </c>
      <c r="BO36" s="15" t="n">
        <v>-14.7</v>
      </c>
      <c r="BP36" s="15" t="n">
        <v>-14.7</v>
      </c>
      <c r="BQ36" s="15" t="n">
        <v>-14.7</v>
      </c>
      <c r="BR36" s="15" t="n">
        <v>-14.7</v>
      </c>
      <c r="BS36" s="15" t="n">
        <v>-14.7</v>
      </c>
      <c r="BT36" s="15" t="n">
        <v>-14.7</v>
      </c>
      <c r="BU36" s="15" t="n">
        <v>-14.7</v>
      </c>
      <c r="BV36" s="15" t="n">
        <v>-14.7</v>
      </c>
      <c r="BW36" s="15" t="n">
        <v>-14.7</v>
      </c>
      <c r="BX36" s="165" t="n">
        <v>-14.7</v>
      </c>
    </row>
    <row r="37" customFormat="false" ht="15.75" hidden="false" customHeight="true" outlineLevel="0" collapsed="false">
      <c r="A37" s="160" t="n">
        <v>37</v>
      </c>
      <c r="B37" s="166" t="n">
        <v>78.942673965167</v>
      </c>
      <c r="C37" s="167" t="n">
        <v>76.9571803154484</v>
      </c>
      <c r="D37" s="167" t="n">
        <v>77.1167436605302</v>
      </c>
      <c r="E37" s="167" t="n">
        <v>78.8065221078934</v>
      </c>
      <c r="F37" s="167" t="n">
        <v>81.4497945849687</v>
      </c>
      <c r="G37" s="167" t="n">
        <v>80.6438741754455</v>
      </c>
      <c r="H37" s="167" t="n">
        <v>75.0075733104629</v>
      </c>
      <c r="I37" s="167" t="n">
        <v>75.4517805073168</v>
      </c>
      <c r="J37" s="167" t="n">
        <v>79.9335406297994</v>
      </c>
      <c r="K37" s="167" t="n">
        <v>87.6852171364913</v>
      </c>
      <c r="L37" s="167" t="n">
        <v>103.958267604457</v>
      </c>
      <c r="M37" s="167" t="n">
        <v>103.970331203093</v>
      </c>
      <c r="N37" s="167" t="n">
        <v>95.8978307126668</v>
      </c>
      <c r="O37" s="167" t="n">
        <v>77.4445861539533</v>
      </c>
      <c r="P37" s="167" t="n">
        <v>98.7163792291282</v>
      </c>
      <c r="Q37" s="167" t="n">
        <v>77.8166707818226</v>
      </c>
      <c r="R37" s="167" t="n">
        <v>76.9860555382185</v>
      </c>
      <c r="S37" s="167" t="n">
        <v>74.9318121595437</v>
      </c>
      <c r="T37" s="167" t="n">
        <v>97.7972614856566</v>
      </c>
      <c r="U37" s="167" t="n">
        <v>105.669454554076</v>
      </c>
      <c r="V37" s="167" t="n">
        <v>94.4882714358941</v>
      </c>
      <c r="W37" s="167" t="n">
        <v>87.138526581894</v>
      </c>
      <c r="X37" s="167" t="n">
        <v>79.194365978241</v>
      </c>
      <c r="Y37" s="167" t="n">
        <v>79.980892128898</v>
      </c>
      <c r="Z37" s="167" t="n">
        <v>90.7630518904569</v>
      </c>
      <c r="AA37" s="167" t="n">
        <v>117.5</v>
      </c>
      <c r="AB37" s="167" t="n">
        <v>93.1365001657748</v>
      </c>
      <c r="AC37" s="167" t="n">
        <v>82.1364990203612</v>
      </c>
      <c r="AD37" s="167" t="n">
        <v>87.6471195839257</v>
      </c>
      <c r="AE37" s="167" t="n">
        <v>95.1078334775595</v>
      </c>
      <c r="AF37" s="167" t="n">
        <v>87.8186506354005</v>
      </c>
      <c r="AG37" s="167" t="n">
        <v>93.7986342383159</v>
      </c>
      <c r="AH37" s="167" t="n">
        <v>74.5389554167065</v>
      </c>
      <c r="AI37" s="167" t="n">
        <v>94.5263672644228</v>
      </c>
      <c r="AJ37" s="167" t="n">
        <v>94.319810597109</v>
      </c>
      <c r="AK37" s="167" t="n">
        <v>73.0207136120128</v>
      </c>
      <c r="AL37" s="167" t="n">
        <v>88.0177497623365</v>
      </c>
      <c r="AM37" s="167" t="n">
        <v>83.7578652637491</v>
      </c>
      <c r="AN37" s="167" t="n">
        <v>75.0433518040565</v>
      </c>
      <c r="AO37" s="167" t="n">
        <v>80.4026728855666</v>
      </c>
      <c r="AP37" s="167" t="n">
        <v>87.6964028917184</v>
      </c>
      <c r="AQ37" s="167" t="n">
        <v>91.995710297439</v>
      </c>
      <c r="AR37" s="167" t="n">
        <v>82.8667216876883</v>
      </c>
      <c r="AS37" s="167" t="n">
        <v>85.566671841253</v>
      </c>
      <c r="AT37" s="167" t="n">
        <v>103.890276618182</v>
      </c>
      <c r="AU37" s="167" t="n">
        <v>85.8545616006886</v>
      </c>
      <c r="AV37" s="167" t="n">
        <v>102.10348821627</v>
      </c>
      <c r="AW37" s="167" t="n">
        <v>79.8914801741159</v>
      </c>
      <c r="AX37" s="167" t="n">
        <v>81.8026421480001</v>
      </c>
      <c r="AY37" s="167" t="n">
        <v>86.4286313256076</v>
      </c>
      <c r="AZ37" s="167" t="n">
        <v>90.353664943909</v>
      </c>
      <c r="BA37" s="167" t="n">
        <v>102.01060011026</v>
      </c>
      <c r="BB37" s="167" t="n">
        <v>80.2689928116755</v>
      </c>
      <c r="BC37" s="167" t="n">
        <v>86.1468728699175</v>
      </c>
      <c r="BD37" s="167" t="n">
        <v>99.6528658427098</v>
      </c>
      <c r="BE37" s="167" t="n">
        <v>117.5</v>
      </c>
      <c r="BF37" s="167" t="n">
        <v>84.839565504966</v>
      </c>
      <c r="BG37" s="167" t="n">
        <v>87.1977908454652</v>
      </c>
      <c r="BH37" s="167" t="n">
        <v>115.991547780407</v>
      </c>
      <c r="BI37" s="167" t="n">
        <v>117.5</v>
      </c>
      <c r="BJ37" s="167" t="n">
        <v>0</v>
      </c>
      <c r="BK37" s="167" t="n">
        <v>0</v>
      </c>
      <c r="BL37" s="167" t="n">
        <v>0</v>
      </c>
      <c r="BM37" s="167" t="n">
        <v>0</v>
      </c>
      <c r="BN37" s="167" t="n">
        <v>0</v>
      </c>
      <c r="BO37" s="167" t="n">
        <v>0</v>
      </c>
      <c r="BP37" s="167" t="n">
        <v>0</v>
      </c>
      <c r="BQ37" s="167" t="n">
        <v>0</v>
      </c>
      <c r="BR37" s="167" t="n">
        <v>0</v>
      </c>
      <c r="BS37" s="167" t="n">
        <v>0</v>
      </c>
      <c r="BT37" s="167" t="n">
        <v>0</v>
      </c>
      <c r="BU37" s="167" t="n">
        <v>0</v>
      </c>
      <c r="BV37" s="167" t="n">
        <v>0</v>
      </c>
      <c r="BW37" s="167" t="n">
        <v>0</v>
      </c>
      <c r="BX37" s="168" t="n">
        <v>0</v>
      </c>
    </row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R10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3" activeCellId="0" sqref="D23"/>
    </sheetView>
  </sheetViews>
  <sheetFormatPr defaultColWidth="14.453125" defaultRowHeight="15" zeroHeight="false" outlineLevelRow="0" outlineLevelCol="0"/>
  <cols>
    <col collapsed="false" customWidth="true" hidden="false" outlineLevel="0" max="1" min="1" style="0" width="24.03"/>
    <col collapsed="false" customWidth="true" hidden="false" outlineLevel="0" max="2" min="2" style="0" width="27.66"/>
    <col collapsed="false" customWidth="true" hidden="false" outlineLevel="0" max="3" min="3" style="0" width="13.86"/>
    <col collapsed="false" customWidth="true" hidden="false" outlineLevel="0" max="4" min="4" style="0" width="37.43"/>
    <col collapsed="false" customWidth="true" hidden="false" outlineLevel="0" max="6" min="5" style="0" width="11.29"/>
    <col collapsed="false" customWidth="true" hidden="false" outlineLevel="0" max="7" min="7" style="0" width="12.29"/>
    <col collapsed="false" customWidth="true" hidden="false" outlineLevel="0" max="8" min="8" style="0" width="11.71"/>
    <col collapsed="false" customWidth="true" hidden="false" outlineLevel="0" max="9" min="9" style="0" width="12.86"/>
    <col collapsed="false" customWidth="true" hidden="false" outlineLevel="0" max="11" min="10" style="0" width="12.29"/>
    <col collapsed="false" customWidth="true" hidden="false" outlineLevel="0" max="12" min="12" style="0" width="29.14"/>
    <col collapsed="false" customWidth="true" hidden="false" outlineLevel="0" max="13" min="13" style="0" width="31.14"/>
    <col collapsed="false" customWidth="true" hidden="false" outlineLevel="0" max="14" min="14" style="0" width="13.29"/>
    <col collapsed="false" customWidth="true" hidden="false" outlineLevel="0" max="15" min="15" style="0" width="22.15"/>
    <col collapsed="false" customWidth="true" hidden="false" outlineLevel="0" max="16" min="16" style="0" width="14.71"/>
    <col collapsed="false" customWidth="true" hidden="false" outlineLevel="0" max="17" min="17" style="0" width="10.86"/>
    <col collapsed="false" customWidth="true" hidden="false" outlineLevel="0" max="18" min="18" style="0" width="11.57"/>
    <col collapsed="false" customWidth="true" hidden="false" outlineLevel="0" max="19" min="19" style="0" width="22.3"/>
    <col collapsed="false" customWidth="true" hidden="false" outlineLevel="0" max="20" min="20" style="0" width="11.14"/>
    <col collapsed="false" customWidth="true" hidden="false" outlineLevel="0" max="21" min="21" style="0" width="13.29"/>
    <col collapsed="false" customWidth="true" hidden="false" outlineLevel="0" max="22" min="22" style="0" width="12.57"/>
    <col collapsed="false" customWidth="true" hidden="false" outlineLevel="0" max="23" min="23" style="0" width="12.14"/>
    <col collapsed="false" customWidth="true" hidden="false" outlineLevel="0" max="24" min="24" style="0" width="13.14"/>
    <col collapsed="false" customWidth="true" hidden="false" outlineLevel="0" max="26" min="25" style="0" width="22.15"/>
    <col collapsed="false" customWidth="true" hidden="false" outlineLevel="0" max="27" min="27" style="0" width="13.86"/>
    <col collapsed="false" customWidth="true" hidden="false" outlineLevel="0" max="28" min="28" style="0" width="14.71"/>
    <col collapsed="false" customWidth="true" hidden="false" outlineLevel="0" max="29" min="29" style="0" width="13"/>
    <col collapsed="false" customWidth="true" hidden="false" outlineLevel="0" max="30" min="30" style="0" width="13.71"/>
    <col collapsed="false" customWidth="true" hidden="false" outlineLevel="0" max="31" min="31" style="0" width="14.57"/>
    <col collapsed="false" customWidth="true" hidden="false" outlineLevel="0" max="32" min="32" style="0" width="13"/>
    <col collapsed="false" customWidth="true" hidden="false" outlineLevel="0" max="33" min="33" style="0" width="18.14"/>
    <col collapsed="false" customWidth="true" hidden="false" outlineLevel="0" max="34" min="34" style="0" width="11.71"/>
    <col collapsed="false" customWidth="true" hidden="false" outlineLevel="0" max="35" min="35" style="0" width="8.57"/>
    <col collapsed="false" customWidth="true" hidden="false" outlineLevel="0" max="36" min="36" style="0" width="8"/>
    <col collapsed="false" customWidth="true" hidden="false" outlineLevel="0" max="37" min="37" style="0" width="12.14"/>
    <col collapsed="false" customWidth="true" hidden="false" outlineLevel="0" max="38" min="38" style="0" width="15"/>
    <col collapsed="false" customWidth="true" hidden="false" outlineLevel="0" max="41" min="39" style="0" width="22.15"/>
    <col collapsed="false" customWidth="true" hidden="false" outlineLevel="0" max="42" min="42" style="0" width="12.86"/>
    <col collapsed="false" customWidth="true" hidden="false" outlineLevel="0" max="43" min="43" style="0" width="11"/>
    <col collapsed="false" customWidth="true" hidden="false" outlineLevel="0" max="44" min="44" style="0" width="11.86"/>
    <col collapsed="false" customWidth="true" hidden="false" outlineLevel="0" max="45" min="45" style="0" width="16.29"/>
    <col collapsed="false" customWidth="true" hidden="false" outlineLevel="0" max="46" min="46" style="0" width="11"/>
    <col collapsed="false" customWidth="true" hidden="false" outlineLevel="0" max="47" min="47" style="0" width="10.14"/>
    <col collapsed="false" customWidth="true" hidden="false" outlineLevel="0" max="48" min="48" style="0" width="19.43"/>
    <col collapsed="false" customWidth="true" hidden="false" outlineLevel="0" max="49" min="49" style="0" width="19.71"/>
    <col collapsed="false" customWidth="true" hidden="false" outlineLevel="0" max="50" min="50" style="0" width="22"/>
    <col collapsed="false" customWidth="true" hidden="false" outlineLevel="0" max="51" min="51" style="0" width="22.15"/>
    <col collapsed="false" customWidth="true" hidden="false" outlineLevel="0" max="52" min="52" style="0" width="20.29"/>
    <col collapsed="false" customWidth="true" hidden="false" outlineLevel="0" max="53" min="53" style="0" width="20.43"/>
    <col collapsed="false" customWidth="true" hidden="false" outlineLevel="0" max="55" min="54" style="0" width="12.29"/>
    <col collapsed="false" customWidth="true" hidden="false" outlineLevel="0" max="56" min="56" style="0" width="13.43"/>
    <col collapsed="false" customWidth="true" hidden="false" outlineLevel="0" max="57" min="57" style="0" width="13.71"/>
    <col collapsed="false" customWidth="true" hidden="false" outlineLevel="0" max="58" min="58" style="0" width="11.86"/>
    <col collapsed="false" customWidth="true" hidden="false" outlineLevel="0" max="59" min="59" style="0" width="12"/>
    <col collapsed="false" customWidth="true" hidden="false" outlineLevel="0" max="60" min="60" style="0" width="13.57"/>
    <col collapsed="false" customWidth="true" hidden="false" outlineLevel="0" max="61" min="61" style="0" width="13.86"/>
    <col collapsed="false" customWidth="true" hidden="false" outlineLevel="0" max="62" min="62" style="0" width="16.14"/>
    <col collapsed="false" customWidth="true" hidden="false" outlineLevel="0" max="63" min="63" style="0" width="16.29"/>
    <col collapsed="false" customWidth="true" hidden="false" outlineLevel="0" max="65" min="65" style="0" width="14.57"/>
    <col collapsed="false" customWidth="true" hidden="false" outlineLevel="0" max="66" min="66" style="0" width="13.29"/>
    <col collapsed="false" customWidth="true" hidden="false" outlineLevel="0" max="68" min="68" style="0" width="13"/>
    <col collapsed="false" customWidth="true" hidden="false" outlineLevel="0" max="69" min="69" style="0" width="10.86"/>
    <col collapsed="false" customWidth="true" hidden="false" outlineLevel="0" max="70" min="70" style="0" width="12.29"/>
    <col collapsed="false" customWidth="true" hidden="false" outlineLevel="0" max="71" min="71" style="0" width="22.15"/>
    <col collapsed="false" customWidth="true" hidden="false" outlineLevel="0" max="72" min="72" style="0" width="18.29"/>
    <col collapsed="false" customWidth="true" hidden="false" outlineLevel="0" max="73" min="73" style="0" width="17.29"/>
    <col collapsed="false" customWidth="true" hidden="false" outlineLevel="0" max="74" min="74" style="0" width="11.86"/>
    <col collapsed="false" customWidth="true" hidden="false" outlineLevel="0" max="75" min="75" style="0" width="9.43"/>
    <col collapsed="false" customWidth="true" hidden="false" outlineLevel="0" max="76" min="76" style="0" width="12.86"/>
    <col collapsed="false" customWidth="true" hidden="false" outlineLevel="0" max="77" min="77" style="0" width="3.14"/>
    <col collapsed="false" customWidth="true" hidden="false" outlineLevel="0" max="78" min="78" style="0" width="3.29"/>
    <col collapsed="false" customWidth="true" hidden="false" outlineLevel="0" max="79" min="79" style="0" width="3.43"/>
    <col collapsed="false" customWidth="true" hidden="false" outlineLevel="0" max="80" min="80" style="0" width="4.43"/>
    <col collapsed="false" customWidth="true" hidden="false" outlineLevel="0" max="81" min="81" style="0" width="3.29"/>
    <col collapsed="false" customWidth="true" hidden="false" outlineLevel="0" max="82" min="82" style="0" width="3.14"/>
    <col collapsed="false" customWidth="true" hidden="false" outlineLevel="0" max="83" min="83" style="0" width="5.14"/>
    <col collapsed="false" customWidth="true" hidden="false" outlineLevel="0" max="84" min="84" style="0" width="3.14"/>
    <col collapsed="false" customWidth="true" hidden="false" outlineLevel="0" max="88" min="85" style="0" width="22.15"/>
    <col collapsed="false" customWidth="true" hidden="false" outlineLevel="0" max="90" min="90" style="0" width="15.29"/>
    <col collapsed="false" customWidth="true" hidden="false" outlineLevel="0" max="91" min="91" style="0" width="17"/>
    <col collapsed="false" customWidth="true" hidden="false" outlineLevel="0" max="92" min="92" style="0" width="8"/>
    <col collapsed="false" customWidth="true" hidden="false" outlineLevel="0" max="93" min="93" style="0" width="8.14"/>
    <col collapsed="false" customWidth="true" hidden="false" outlineLevel="0" max="94" min="94" style="0" width="9.57"/>
    <col collapsed="false" customWidth="true" hidden="false" outlineLevel="0" max="95" min="95" style="0" width="19.43"/>
    <col collapsed="false" customWidth="true" hidden="false" outlineLevel="0" max="96" min="96" style="0" width="17"/>
    <col collapsed="false" customWidth="true" hidden="false" outlineLevel="0" max="98" min="98" style="0" width="14.14"/>
    <col collapsed="false" customWidth="true" hidden="false" outlineLevel="0" max="99" min="99" style="0" width="9.14"/>
    <col collapsed="false" customWidth="true" hidden="false" outlineLevel="0" max="101" min="101" style="0" width="11.86"/>
    <col collapsed="false" customWidth="true" hidden="false" outlineLevel="0" max="102" min="102" style="0" width="18"/>
    <col collapsed="false" customWidth="true" hidden="false" outlineLevel="0" max="103" min="103" style="0" width="13"/>
    <col collapsed="false" customWidth="true" hidden="false" outlineLevel="0" max="104" min="104" style="0" width="12.29"/>
    <col collapsed="false" customWidth="true" hidden="false" outlineLevel="0" max="105" min="105" style="0" width="13"/>
    <col collapsed="false" customWidth="true" hidden="false" outlineLevel="0" max="106" min="106" style="0" width="16.14"/>
    <col collapsed="false" customWidth="true" hidden="false" outlineLevel="0" max="107" min="107" style="0" width="28.43"/>
    <col collapsed="false" customWidth="true" hidden="false" outlineLevel="0" max="108" min="108" style="0" width="12.86"/>
    <col collapsed="false" customWidth="true" hidden="false" outlineLevel="0" max="109" min="109" style="0" width="13.86"/>
    <col collapsed="false" customWidth="true" hidden="false" outlineLevel="0" max="110" min="110" style="0" width="15.43"/>
    <col collapsed="false" customWidth="true" hidden="false" outlineLevel="0" max="111" min="111" style="0" width="13.29"/>
    <col collapsed="false" customWidth="true" hidden="false" outlineLevel="0" max="113" min="112" style="0" width="12.29"/>
    <col collapsed="false" customWidth="true" hidden="false" outlineLevel="0" max="116" min="115" style="0" width="16.57"/>
    <col collapsed="false" customWidth="true" hidden="false" outlineLevel="0" max="119" min="117" style="0" width="13.29"/>
    <col collapsed="false" customWidth="true" hidden="false" outlineLevel="0" max="120" min="120" style="0" width="7"/>
    <col collapsed="false" customWidth="true" hidden="false" outlineLevel="0" max="124" min="123" style="0" width="5.85"/>
    <col collapsed="false" customWidth="true" hidden="false" outlineLevel="0" max="125" min="125" style="0" width="3.14"/>
    <col collapsed="false" customWidth="true" hidden="false" outlineLevel="0" max="128" min="126" style="0" width="3.57"/>
    <col collapsed="false" customWidth="true" hidden="false" outlineLevel="0" max="129" min="129" style="0" width="12.29"/>
    <col collapsed="false" customWidth="true" hidden="false" outlineLevel="0" max="130" min="130" style="0" width="7"/>
    <col collapsed="false" customWidth="true" hidden="false" outlineLevel="0" max="131" min="131" style="0" width="3.43"/>
    <col collapsed="false" customWidth="true" hidden="false" outlineLevel="0" max="139" min="132" style="0" width="22.3"/>
    <col collapsed="false" customWidth="true" hidden="false" outlineLevel="0" max="140" min="140" style="0" width="33.14"/>
    <col collapsed="false" customWidth="true" hidden="false" outlineLevel="0" max="141" min="141" style="0" width="7.85"/>
    <col collapsed="false" customWidth="true" hidden="false" outlineLevel="0" max="142" min="142" style="0" width="5.43"/>
    <col collapsed="false" customWidth="true" hidden="false" outlineLevel="0" max="143" min="143" style="0" width="14.86"/>
    <col collapsed="false" customWidth="true" hidden="false" outlineLevel="0" max="144" min="144" style="0" width="12.29"/>
    <col collapsed="false" customWidth="true" hidden="false" outlineLevel="0" max="145" min="145" style="0" width="16.14"/>
    <col collapsed="false" customWidth="true" hidden="false" outlineLevel="0" max="146" min="146" style="0" width="9.14"/>
    <col collapsed="false" customWidth="true" hidden="false" outlineLevel="0" max="147" min="147" style="0" width="12.29"/>
    <col collapsed="false" customWidth="true" hidden="false" outlineLevel="0" max="148" min="148" style="0" width="8.43"/>
    <col collapsed="false" customWidth="true" hidden="false" outlineLevel="0" max="149" min="149" style="0" width="22.57"/>
    <col collapsed="false" customWidth="true" hidden="false" outlineLevel="0" max="150" min="150" style="0" width="15.29"/>
    <col collapsed="false" customWidth="true" hidden="false" outlineLevel="0" max="152" min="152" style="0" width="21.43"/>
    <col collapsed="false" customWidth="true" hidden="false" outlineLevel="0" max="153" min="153" style="0" width="20.57"/>
    <col collapsed="false" customWidth="true" hidden="false" outlineLevel="0" max="154" min="154" style="0" width="17.29"/>
    <col collapsed="false" customWidth="true" hidden="false" outlineLevel="0" max="155" min="155" style="0" width="16.43"/>
    <col collapsed="false" customWidth="true" hidden="false" outlineLevel="0" max="156" min="156" style="0" width="11.14"/>
    <col collapsed="false" customWidth="true" hidden="false" outlineLevel="0" max="158" min="157" style="0" width="18"/>
    <col collapsed="false" customWidth="true" hidden="false" outlineLevel="0" max="159" min="159" style="0" width="18.43"/>
    <col collapsed="false" customWidth="true" hidden="false" outlineLevel="0" max="161" min="160" style="0" width="18"/>
    <col collapsed="false" customWidth="true" hidden="false" outlineLevel="0" max="162" min="162" style="0" width="18.43"/>
    <col collapsed="false" customWidth="true" hidden="false" outlineLevel="0" max="163" min="163" style="0" width="18"/>
    <col collapsed="false" customWidth="true" hidden="false" outlineLevel="0" max="164" min="164" style="0" width="18.43"/>
    <col collapsed="false" customWidth="true" hidden="false" outlineLevel="0" max="166" min="165" style="0" width="15.57"/>
    <col collapsed="false" customWidth="true" hidden="false" outlineLevel="0" max="167" min="167" style="0" width="28.57"/>
    <col collapsed="false" customWidth="true" hidden="false" outlineLevel="0" max="168" min="168" style="0" width="20"/>
    <col collapsed="false" customWidth="true" hidden="false" outlineLevel="0" max="169" min="169" style="0" width="5.57"/>
    <col collapsed="false" customWidth="true" hidden="false" outlineLevel="0" max="170" min="170" style="0" width="15.29"/>
    <col collapsed="false" customWidth="true" hidden="false" outlineLevel="0" max="172" min="172" style="0" width="10.43"/>
    <col collapsed="false" customWidth="true" hidden="false" outlineLevel="0" max="173" min="173" style="0" width="10.86"/>
    <col collapsed="false" customWidth="true" hidden="false" outlineLevel="0" max="174" min="174" style="0" width="15"/>
  </cols>
  <sheetData>
    <row r="1" customFormat="false" ht="15" hidden="false" customHeight="false" outlineLevel="0" collapsed="false">
      <c r="A1" s="4" t="s">
        <v>185</v>
      </c>
      <c r="B1" s="4" t="s">
        <v>186</v>
      </c>
      <c r="C1" s="4" t="s">
        <v>178</v>
      </c>
      <c r="D1" s="4" t="s">
        <v>179</v>
      </c>
      <c r="E1" s="4" t="s">
        <v>8</v>
      </c>
      <c r="F1" s="4" t="s">
        <v>180</v>
      </c>
      <c r="G1" s="4" t="s">
        <v>187</v>
      </c>
      <c r="H1" s="4" t="s">
        <v>188</v>
      </c>
      <c r="I1" s="4" t="s">
        <v>34</v>
      </c>
      <c r="J1" s="4" t="s">
        <v>181</v>
      </c>
      <c r="K1" s="4" t="s">
        <v>189</v>
      </c>
      <c r="L1" s="4" t="s">
        <v>190</v>
      </c>
      <c r="M1" s="4" t="s">
        <v>191</v>
      </c>
      <c r="N1" s="4" t="s">
        <v>192</v>
      </c>
      <c r="O1" s="4" t="s">
        <v>193</v>
      </c>
      <c r="P1" s="4" t="s">
        <v>194</v>
      </c>
      <c r="Q1" s="4" t="s">
        <v>195</v>
      </c>
      <c r="R1" s="4" t="s">
        <v>196</v>
      </c>
      <c r="S1" s="4" t="s">
        <v>197</v>
      </c>
      <c r="T1" s="4" t="s">
        <v>198</v>
      </c>
      <c r="U1" s="4" t="s">
        <v>199</v>
      </c>
      <c r="V1" s="4" t="s">
        <v>200</v>
      </c>
      <c r="W1" s="4" t="s">
        <v>201</v>
      </c>
      <c r="X1" s="4" t="s">
        <v>202</v>
      </c>
      <c r="Y1" s="4" t="s">
        <v>193</v>
      </c>
      <c r="Z1" s="4" t="s">
        <v>193</v>
      </c>
      <c r="AA1" s="4" t="s">
        <v>203</v>
      </c>
      <c r="AB1" s="4" t="s">
        <v>204</v>
      </c>
      <c r="AC1" s="4" t="s">
        <v>205</v>
      </c>
      <c r="AD1" s="4" t="s">
        <v>206</v>
      </c>
      <c r="AE1" s="4" t="s">
        <v>207</v>
      </c>
      <c r="AF1" s="4" t="s">
        <v>208</v>
      </c>
      <c r="AG1" s="4" t="s">
        <v>209</v>
      </c>
      <c r="AH1" s="4" t="s">
        <v>210</v>
      </c>
      <c r="AI1" s="4" t="s">
        <v>211</v>
      </c>
      <c r="AJ1" s="4" t="s">
        <v>212</v>
      </c>
      <c r="AK1" s="4" t="s">
        <v>213</v>
      </c>
      <c r="AL1" s="4" t="s">
        <v>214</v>
      </c>
      <c r="AM1" s="4" t="s">
        <v>193</v>
      </c>
      <c r="AN1" s="4" t="s">
        <v>193</v>
      </c>
      <c r="AO1" s="4" t="s">
        <v>193</v>
      </c>
      <c r="AP1" s="4" t="s">
        <v>215</v>
      </c>
      <c r="AQ1" s="4" t="s">
        <v>216</v>
      </c>
      <c r="AR1" s="4" t="s">
        <v>217</v>
      </c>
      <c r="AS1" s="4" t="s">
        <v>218</v>
      </c>
      <c r="AT1" s="4" t="s">
        <v>219</v>
      </c>
      <c r="AU1" s="4" t="s">
        <v>220</v>
      </c>
      <c r="AV1" s="4" t="s">
        <v>221</v>
      </c>
      <c r="AW1" s="4" t="s">
        <v>222</v>
      </c>
      <c r="AX1" s="4" t="s">
        <v>223</v>
      </c>
      <c r="AY1" s="4" t="s">
        <v>224</v>
      </c>
      <c r="AZ1" s="4" t="s">
        <v>225</v>
      </c>
      <c r="BA1" s="4" t="s">
        <v>226</v>
      </c>
      <c r="BB1" s="4" t="s">
        <v>227</v>
      </c>
      <c r="BC1" s="4" t="s">
        <v>228</v>
      </c>
      <c r="BD1" s="4" t="s">
        <v>229</v>
      </c>
      <c r="BE1" s="4" t="s">
        <v>230</v>
      </c>
      <c r="BF1" s="4" t="s">
        <v>231</v>
      </c>
      <c r="BG1" s="4" t="s">
        <v>232</v>
      </c>
      <c r="BH1" s="4" t="s">
        <v>233</v>
      </c>
      <c r="BI1" s="4" t="s">
        <v>234</v>
      </c>
      <c r="BJ1" s="4" t="s">
        <v>235</v>
      </c>
      <c r="BK1" s="4" t="s">
        <v>236</v>
      </c>
      <c r="BL1" s="4" t="s">
        <v>237</v>
      </c>
      <c r="BM1" s="4" t="s">
        <v>238</v>
      </c>
      <c r="BN1" s="4" t="s">
        <v>239</v>
      </c>
      <c r="BO1" s="4" t="s">
        <v>240</v>
      </c>
      <c r="BP1" s="4" t="s">
        <v>241</v>
      </c>
      <c r="BQ1" s="4" t="s">
        <v>242</v>
      </c>
      <c r="BR1" s="4" t="s">
        <v>243</v>
      </c>
      <c r="BS1" s="4" t="s">
        <v>193</v>
      </c>
      <c r="BT1" s="4" t="s">
        <v>244</v>
      </c>
      <c r="BU1" s="4" t="s">
        <v>245</v>
      </c>
      <c r="BV1" s="4" t="s">
        <v>246</v>
      </c>
      <c r="BW1" s="4" t="s">
        <v>247</v>
      </c>
      <c r="BX1" s="4" t="s">
        <v>248</v>
      </c>
      <c r="BY1" s="4" t="s">
        <v>249</v>
      </c>
      <c r="BZ1" s="4" t="s">
        <v>250</v>
      </c>
      <c r="CA1" s="4" t="s">
        <v>251</v>
      </c>
      <c r="CB1" s="4" t="s">
        <v>252</v>
      </c>
      <c r="CC1" s="4" t="s">
        <v>253</v>
      </c>
      <c r="CD1" s="4" t="s">
        <v>254</v>
      </c>
      <c r="CE1" s="4" t="s">
        <v>255</v>
      </c>
      <c r="CF1" s="4" t="s">
        <v>256</v>
      </c>
      <c r="CG1" s="4" t="s">
        <v>193</v>
      </c>
      <c r="CH1" s="4" t="s">
        <v>193</v>
      </c>
      <c r="CI1" s="4" t="s">
        <v>193</v>
      </c>
      <c r="CJ1" s="4" t="s">
        <v>193</v>
      </c>
      <c r="CK1" s="4" t="s">
        <v>257</v>
      </c>
      <c r="CL1" s="4" t="s">
        <v>258</v>
      </c>
      <c r="CM1" s="4" t="s">
        <v>259</v>
      </c>
      <c r="CN1" s="4" t="s">
        <v>260</v>
      </c>
      <c r="CO1" s="4" t="s">
        <v>261</v>
      </c>
      <c r="CP1" s="4" t="s">
        <v>262</v>
      </c>
      <c r="CQ1" s="4" t="s">
        <v>263</v>
      </c>
      <c r="CR1" s="4" t="s">
        <v>264</v>
      </c>
      <c r="CS1" s="4" t="s">
        <v>265</v>
      </c>
      <c r="CT1" s="4" t="s">
        <v>266</v>
      </c>
      <c r="CU1" s="4" t="s">
        <v>267</v>
      </c>
      <c r="CV1" s="4" t="s">
        <v>268</v>
      </c>
      <c r="CW1" s="4" t="s">
        <v>269</v>
      </c>
      <c r="CX1" s="4" t="s">
        <v>270</v>
      </c>
      <c r="CY1" s="4" t="s">
        <v>271</v>
      </c>
      <c r="CZ1" s="4" t="s">
        <v>272</v>
      </c>
      <c r="DA1" s="4" t="s">
        <v>273</v>
      </c>
      <c r="DB1" s="4" t="s">
        <v>274</v>
      </c>
      <c r="DC1" s="4" t="s">
        <v>275</v>
      </c>
      <c r="DD1" s="4" t="s">
        <v>276</v>
      </c>
      <c r="DE1" s="4" t="s">
        <v>277</v>
      </c>
      <c r="DF1" s="4" t="s">
        <v>24</v>
      </c>
      <c r="DG1" s="4" t="s">
        <v>25</v>
      </c>
      <c r="DH1" s="4" t="s">
        <v>26</v>
      </c>
      <c r="DI1" s="4" t="s">
        <v>27</v>
      </c>
      <c r="DJ1" s="4" t="s">
        <v>28</v>
      </c>
      <c r="DK1" s="4" t="s">
        <v>182</v>
      </c>
      <c r="DL1" s="4" t="s">
        <v>30</v>
      </c>
      <c r="DM1" s="4" t="s">
        <v>183</v>
      </c>
      <c r="DN1" s="4" t="s">
        <v>32</v>
      </c>
      <c r="DO1" s="4" t="s">
        <v>18</v>
      </c>
      <c r="DP1" s="4" t="s">
        <v>278</v>
      </c>
      <c r="DQ1" s="4" t="s">
        <v>19</v>
      </c>
      <c r="DR1" s="4" t="s">
        <v>20</v>
      </c>
      <c r="DS1" s="4" t="s">
        <v>279</v>
      </c>
      <c r="DT1" s="4" t="s">
        <v>280</v>
      </c>
      <c r="DU1" s="4" t="s">
        <v>281</v>
      </c>
      <c r="DV1" s="4" t="s">
        <v>282</v>
      </c>
      <c r="DW1" s="4" t="s">
        <v>283</v>
      </c>
      <c r="DX1" s="4" t="s">
        <v>284</v>
      </c>
      <c r="DY1" s="4" t="s">
        <v>285</v>
      </c>
      <c r="DZ1" s="4" t="s">
        <v>286</v>
      </c>
      <c r="EA1" s="4" t="s">
        <v>287</v>
      </c>
      <c r="EB1" s="4" t="s">
        <v>197</v>
      </c>
      <c r="EC1" s="4" t="s">
        <v>197</v>
      </c>
      <c r="ED1" s="4" t="s">
        <v>197</v>
      </c>
      <c r="EE1" s="4" t="s">
        <v>197</v>
      </c>
      <c r="EF1" s="4" t="s">
        <v>197</v>
      </c>
      <c r="EG1" s="4" t="s">
        <v>197</v>
      </c>
      <c r="EH1" s="4" t="s">
        <v>197</v>
      </c>
      <c r="EI1" s="4" t="s">
        <v>197</v>
      </c>
      <c r="EJ1" s="4" t="s">
        <v>288</v>
      </c>
      <c r="EK1" s="4" t="s">
        <v>289</v>
      </c>
      <c r="EL1" s="4" t="s">
        <v>290</v>
      </c>
      <c r="EM1" s="4" t="s">
        <v>291</v>
      </c>
      <c r="EN1" s="4" t="s">
        <v>292</v>
      </c>
      <c r="EO1" s="4" t="s">
        <v>293</v>
      </c>
      <c r="EP1" s="4" t="s">
        <v>294</v>
      </c>
      <c r="EQ1" s="4" t="s">
        <v>295</v>
      </c>
      <c r="ER1" s="4" t="s">
        <v>296</v>
      </c>
      <c r="ES1" s="4" t="s">
        <v>297</v>
      </c>
      <c r="ET1" s="4" t="s">
        <v>298</v>
      </c>
      <c r="EU1" s="4" t="s">
        <v>299</v>
      </c>
      <c r="EV1" s="4" t="s">
        <v>300</v>
      </c>
      <c r="EW1" s="4" t="s">
        <v>301</v>
      </c>
      <c r="EX1" s="4" t="s">
        <v>302</v>
      </c>
      <c r="EY1" s="4" t="s">
        <v>303</v>
      </c>
      <c r="EZ1" s="4" t="s">
        <v>304</v>
      </c>
      <c r="FA1" s="4" t="s">
        <v>305</v>
      </c>
      <c r="FB1" s="4" t="s">
        <v>306</v>
      </c>
      <c r="FC1" s="4" t="s">
        <v>307</v>
      </c>
      <c r="FD1" s="4" t="s">
        <v>308</v>
      </c>
      <c r="FE1" s="4" t="s">
        <v>309</v>
      </c>
      <c r="FF1" s="4" t="s">
        <v>310</v>
      </c>
      <c r="FG1" s="4" t="s">
        <v>311</v>
      </c>
      <c r="FH1" s="4" t="s">
        <v>312</v>
      </c>
      <c r="FI1" s="4" t="s">
        <v>313</v>
      </c>
      <c r="FJ1" s="4" t="s">
        <v>314</v>
      </c>
      <c r="FK1" s="4" t="s">
        <v>315</v>
      </c>
      <c r="FL1" s="4" t="s">
        <v>316</v>
      </c>
      <c r="FM1" s="4" t="s">
        <v>317</v>
      </c>
      <c r="FN1" s="4" t="s">
        <v>318</v>
      </c>
      <c r="FO1" s="4" t="s">
        <v>319</v>
      </c>
      <c r="FP1" s="4" t="s">
        <v>320</v>
      </c>
      <c r="FQ1" s="4" t="s">
        <v>321</v>
      </c>
      <c r="FR1" s="4" t="s">
        <v>322</v>
      </c>
    </row>
    <row r="2" customFormat="false" ht="15" hidden="false" customHeight="false" outlineLevel="0" collapsed="false">
      <c r="A2" s="169" t="n">
        <v>45047.375</v>
      </c>
      <c r="B2" s="169" t="n">
        <v>45078.375</v>
      </c>
      <c r="C2" s="4" t="s">
        <v>37</v>
      </c>
      <c r="D2" s="4" t="s">
        <v>323</v>
      </c>
      <c r="E2" s="4" t="n">
        <v>0</v>
      </c>
      <c r="F2" s="4" t="n">
        <v>0</v>
      </c>
      <c r="G2" s="4" t="n">
        <v>0</v>
      </c>
      <c r="I2" s="4" t="n">
        <v>22.3561763237881</v>
      </c>
      <c r="J2" s="4" t="n">
        <v>78.942673965167</v>
      </c>
      <c r="K2" s="4" t="n">
        <v>0</v>
      </c>
      <c r="L2" s="4" t="n">
        <v>0</v>
      </c>
      <c r="P2" s="4" t="s">
        <v>324</v>
      </c>
      <c r="Q2" s="4" t="s">
        <v>325</v>
      </c>
      <c r="T2" s="4" t="s">
        <v>326</v>
      </c>
      <c r="U2" s="4" t="s">
        <v>37</v>
      </c>
      <c r="V2" s="170" t="n">
        <v>43502</v>
      </c>
      <c r="W2" s="4" t="n">
        <v>1</v>
      </c>
      <c r="X2" s="4" t="n">
        <v>9</v>
      </c>
      <c r="AA2" s="4" t="n">
        <v>1.875</v>
      </c>
      <c r="AB2" s="4" t="n">
        <v>68</v>
      </c>
      <c r="AC2" s="4" t="s">
        <v>327</v>
      </c>
      <c r="AD2" s="4" t="n">
        <v>4.02600002288818</v>
      </c>
      <c r="AE2" s="4" t="n">
        <v>68</v>
      </c>
      <c r="AF2" s="4" t="s">
        <v>328</v>
      </c>
      <c r="AG2" s="4" t="s">
        <v>329</v>
      </c>
      <c r="AH2" s="4" t="s">
        <v>330</v>
      </c>
      <c r="AI2" s="4" t="s">
        <v>331</v>
      </c>
      <c r="AR2" s="4" t="s">
        <v>332</v>
      </c>
      <c r="AS2" s="4" t="s">
        <v>332</v>
      </c>
      <c r="AT2" s="4" t="s">
        <v>332</v>
      </c>
      <c r="AU2" s="4" t="s">
        <v>333</v>
      </c>
      <c r="AV2" s="4" t="n">
        <v>250</v>
      </c>
      <c r="AW2" s="4" t="n">
        <v>0.5</v>
      </c>
      <c r="AX2" s="4" t="n">
        <v>250</v>
      </c>
      <c r="AY2" s="4" t="n">
        <v>0</v>
      </c>
      <c r="BB2" s="4" t="n">
        <v>1513.19995117187</v>
      </c>
      <c r="BC2" s="4" t="n">
        <v>13.1999998092651</v>
      </c>
      <c r="BD2" s="4" t="n">
        <v>263.200012207031</v>
      </c>
      <c r="BE2" s="4" t="n">
        <v>13.1999998092651</v>
      </c>
      <c r="BH2" s="4" t="n">
        <v>200</v>
      </c>
      <c r="BI2" s="4" t="n">
        <v>32</v>
      </c>
      <c r="BN2" s="4" t="n">
        <v>0.25</v>
      </c>
      <c r="BO2" s="4" t="n">
        <v>-3</v>
      </c>
      <c r="BP2" s="4" t="n">
        <v>14.6499996185303</v>
      </c>
      <c r="BQ2" s="4" t="n">
        <v>60</v>
      </c>
      <c r="BR2" s="4" t="n">
        <v>13.1999998092651</v>
      </c>
      <c r="BV2" s="4" t="n">
        <v>1</v>
      </c>
      <c r="BW2" s="4" t="s">
        <v>334</v>
      </c>
      <c r="BX2" s="4" t="n">
        <v>60</v>
      </c>
      <c r="BY2" s="4" t="s">
        <v>332</v>
      </c>
      <c r="BZ2" s="4" t="s">
        <v>332</v>
      </c>
      <c r="CA2" s="4" t="s">
        <v>332</v>
      </c>
      <c r="CB2" s="4" t="s">
        <v>333</v>
      </c>
      <c r="CC2" s="4" t="s">
        <v>332</v>
      </c>
      <c r="CD2" s="4" t="s">
        <v>332</v>
      </c>
      <c r="CE2" s="4" t="s">
        <v>332</v>
      </c>
      <c r="CF2" s="4" t="s">
        <v>333</v>
      </c>
      <c r="CK2" s="169" t="n">
        <v>43668.0965162037</v>
      </c>
      <c r="CL2" s="169" t="n">
        <v>43472.6472222222</v>
      </c>
      <c r="CQ2" s="4" t="n">
        <v>1261.1</v>
      </c>
      <c r="CR2" s="4" t="n">
        <v>1.29999995231628</v>
      </c>
      <c r="CS2" s="4" t="n">
        <v>0.0102679999545217</v>
      </c>
      <c r="CT2" s="4" t="n">
        <v>0.7273</v>
      </c>
      <c r="CU2" s="4" t="s">
        <v>334</v>
      </c>
      <c r="CV2" s="169" t="n">
        <v>44713</v>
      </c>
      <c r="CW2" s="4" t="s">
        <v>327</v>
      </c>
      <c r="DF2" s="4" t="n">
        <v>0.173</v>
      </c>
      <c r="DG2" s="4" t="n">
        <v>0.583</v>
      </c>
      <c r="DH2" s="4" t="n">
        <v>80.962</v>
      </c>
      <c r="DI2" s="4" t="n">
        <v>10.678</v>
      </c>
      <c r="DJ2" s="4" t="n">
        <v>3.898</v>
      </c>
      <c r="DK2" s="4" t="n">
        <v>0.62</v>
      </c>
      <c r="DL2" s="4" t="n">
        <v>1.089</v>
      </c>
      <c r="DM2" s="4" t="n">
        <v>0.289</v>
      </c>
      <c r="DN2" s="4" t="n">
        <v>0.314</v>
      </c>
      <c r="DO2" s="4" t="n">
        <v>0.304</v>
      </c>
      <c r="DQ2" s="4" t="n">
        <v>0.38</v>
      </c>
      <c r="DR2" s="4" t="n">
        <v>0.495</v>
      </c>
      <c r="DS2" s="4" t="n">
        <v>0.194</v>
      </c>
      <c r="DT2" s="4" t="n">
        <v>0.021</v>
      </c>
      <c r="EQ2" s="4" t="s">
        <v>335</v>
      </c>
      <c r="FR2" s="4" t="s">
        <v>336</v>
      </c>
    </row>
    <row r="3" customFormat="false" ht="15" hidden="false" customHeight="false" outlineLevel="0" collapsed="false">
      <c r="A3" s="169" t="n">
        <v>45047.375</v>
      </c>
      <c r="B3" s="169" t="n">
        <v>45078.375</v>
      </c>
      <c r="C3" s="4" t="s">
        <v>38</v>
      </c>
      <c r="D3" s="4" t="s">
        <v>337</v>
      </c>
      <c r="E3" s="4" t="n">
        <v>0</v>
      </c>
      <c r="F3" s="4" t="n">
        <v>0</v>
      </c>
      <c r="G3" s="4" t="n">
        <v>0</v>
      </c>
      <c r="I3" s="4" t="n">
        <v>13.4219181999083</v>
      </c>
      <c r="J3" s="4" t="n">
        <v>76.9571803154484</v>
      </c>
      <c r="K3" s="4" t="n">
        <v>0</v>
      </c>
      <c r="L3" s="4" t="n">
        <v>0</v>
      </c>
      <c r="P3" s="4" t="s">
        <v>324</v>
      </c>
      <c r="Q3" s="4" t="s">
        <v>325</v>
      </c>
      <c r="T3" s="4" t="s">
        <v>326</v>
      </c>
      <c r="U3" s="4" t="s">
        <v>38</v>
      </c>
      <c r="V3" s="170" t="n">
        <v>43508</v>
      </c>
      <c r="W3" s="4" t="n">
        <v>1</v>
      </c>
      <c r="X3" s="4" t="n">
        <v>9</v>
      </c>
      <c r="AA3" s="4" t="n">
        <v>2.5</v>
      </c>
      <c r="AB3" s="4" t="n">
        <v>68</v>
      </c>
      <c r="AC3" s="4" t="s">
        <v>327</v>
      </c>
      <c r="AD3" s="4" t="n">
        <v>4.03200006484985</v>
      </c>
      <c r="AE3" s="4" t="n">
        <v>68</v>
      </c>
      <c r="AF3" s="4" t="s">
        <v>328</v>
      </c>
      <c r="AG3" s="4" t="s">
        <v>329</v>
      </c>
      <c r="AH3" s="4" t="s">
        <v>330</v>
      </c>
      <c r="AI3" s="4" t="s">
        <v>331</v>
      </c>
      <c r="AR3" s="4" t="s">
        <v>332</v>
      </c>
      <c r="AS3" s="4" t="s">
        <v>332</v>
      </c>
      <c r="AT3" s="4" t="s">
        <v>332</v>
      </c>
      <c r="AU3" s="4" t="s">
        <v>333</v>
      </c>
      <c r="AV3" s="4" t="n">
        <v>800</v>
      </c>
      <c r="AW3" s="4" t="n">
        <v>0.5</v>
      </c>
      <c r="AX3" s="4" t="n">
        <v>400</v>
      </c>
      <c r="AY3" s="4" t="n">
        <v>0</v>
      </c>
      <c r="BB3" s="4" t="n">
        <v>1513.19995117187</v>
      </c>
      <c r="BC3" s="4" t="n">
        <v>13.1999998092651</v>
      </c>
      <c r="BD3" s="4" t="n">
        <v>263.200012207031</v>
      </c>
      <c r="BE3" s="4" t="n">
        <v>13.1999998092651</v>
      </c>
      <c r="BH3" s="4" t="n">
        <v>200</v>
      </c>
      <c r="BI3" s="4" t="n">
        <v>32</v>
      </c>
      <c r="BN3" s="4" t="n">
        <v>0.5</v>
      </c>
      <c r="BO3" s="4" t="n">
        <v>-3</v>
      </c>
      <c r="BP3" s="4" t="n">
        <v>14.6499996185303</v>
      </c>
      <c r="BQ3" s="4" t="n">
        <v>60</v>
      </c>
      <c r="BR3" s="4" t="n">
        <v>13.1999998092651</v>
      </c>
      <c r="BV3" s="4" t="n">
        <v>1</v>
      </c>
      <c r="BW3" s="4" t="s">
        <v>334</v>
      </c>
      <c r="BX3" s="4" t="n">
        <v>60</v>
      </c>
      <c r="BY3" s="4" t="s">
        <v>332</v>
      </c>
      <c r="BZ3" s="4" t="s">
        <v>332</v>
      </c>
      <c r="CA3" s="4" t="s">
        <v>332</v>
      </c>
      <c r="CB3" s="4" t="s">
        <v>333</v>
      </c>
      <c r="CC3" s="4" t="s">
        <v>332</v>
      </c>
      <c r="CD3" s="4" t="s">
        <v>332</v>
      </c>
      <c r="CE3" s="4" t="s">
        <v>332</v>
      </c>
      <c r="CF3" s="4" t="s">
        <v>333</v>
      </c>
      <c r="CK3" s="169" t="n">
        <v>44091.402662037</v>
      </c>
      <c r="CL3" s="169" t="n">
        <v>43745.666412037</v>
      </c>
      <c r="CQ3" s="4" t="n">
        <v>1179.42</v>
      </c>
      <c r="CR3" s="4" t="n">
        <v>1.29999995231628</v>
      </c>
      <c r="CS3" s="4" t="n">
        <v>0.0103000001981854</v>
      </c>
      <c r="CT3" s="4" t="n">
        <v>0.701499999999999</v>
      </c>
      <c r="CU3" s="4" t="s">
        <v>334</v>
      </c>
      <c r="CV3" s="169" t="n">
        <v>44713</v>
      </c>
      <c r="CW3" s="4" t="s">
        <v>327</v>
      </c>
      <c r="DF3" s="4" t="n">
        <v>0.1581</v>
      </c>
      <c r="DG3" s="4" t="n">
        <v>2.7207</v>
      </c>
      <c r="DH3" s="4" t="n">
        <v>79.9315</v>
      </c>
      <c r="DI3" s="4" t="n">
        <v>10.7207</v>
      </c>
      <c r="DJ3" s="4" t="n">
        <v>3.6801</v>
      </c>
      <c r="DK3" s="4" t="n">
        <v>0.5513</v>
      </c>
      <c r="DL3" s="4" t="n">
        <v>0.9395</v>
      </c>
      <c r="DM3" s="4" t="n">
        <v>0.2186</v>
      </c>
      <c r="DN3" s="4" t="n">
        <v>0.2183</v>
      </c>
      <c r="DO3" s="4" t="n">
        <v>0.4913</v>
      </c>
      <c r="DZ3" s="4" t="n">
        <v>0.3699</v>
      </c>
      <c r="EQ3" s="4" t="s">
        <v>335</v>
      </c>
      <c r="FR3" s="4" t="s">
        <v>338</v>
      </c>
    </row>
    <row r="4" customFormat="false" ht="15" hidden="false" customHeight="false" outlineLevel="0" collapsed="false">
      <c r="A4" s="169" t="n">
        <v>45047.375</v>
      </c>
      <c r="B4" s="169" t="n">
        <v>45078.375</v>
      </c>
      <c r="C4" s="4" t="s">
        <v>39</v>
      </c>
      <c r="D4" s="4" t="s">
        <v>339</v>
      </c>
      <c r="E4" s="4" t="n">
        <v>46376.34</v>
      </c>
      <c r="F4" s="4" t="n">
        <v>58016.8</v>
      </c>
      <c r="G4" s="4" t="n">
        <v>48.1045338920519</v>
      </c>
      <c r="I4" s="4" t="n">
        <v>90.3834337204179</v>
      </c>
      <c r="J4" s="4" t="n">
        <v>77.1167436605302</v>
      </c>
      <c r="K4" s="4" t="n">
        <v>34659.7333333333</v>
      </c>
      <c r="L4" s="4" t="n">
        <v>2.64425205691433</v>
      </c>
      <c r="N4" s="4" t="n">
        <v>1.00811445052541</v>
      </c>
      <c r="P4" s="4" t="s">
        <v>324</v>
      </c>
      <c r="Q4" s="4" t="s">
        <v>325</v>
      </c>
      <c r="T4" s="4" t="s">
        <v>326</v>
      </c>
      <c r="U4" s="4" t="s">
        <v>39</v>
      </c>
      <c r="V4" s="170" t="n">
        <v>43508</v>
      </c>
      <c r="W4" s="4" t="n">
        <v>1</v>
      </c>
      <c r="X4" s="4" t="n">
        <v>9</v>
      </c>
      <c r="AA4" s="4" t="n">
        <v>2.5</v>
      </c>
      <c r="AB4" s="4" t="n">
        <v>68</v>
      </c>
      <c r="AC4" s="4" t="s">
        <v>327</v>
      </c>
      <c r="AD4" s="4" t="n">
        <v>6.06500005722046</v>
      </c>
      <c r="AE4" s="4" t="n">
        <v>68</v>
      </c>
      <c r="AF4" s="4" t="s">
        <v>328</v>
      </c>
      <c r="AG4" s="4" t="s">
        <v>329</v>
      </c>
      <c r="AH4" s="4" t="s">
        <v>330</v>
      </c>
      <c r="AI4" s="4" t="s">
        <v>331</v>
      </c>
      <c r="AR4" s="4" t="s">
        <v>332</v>
      </c>
      <c r="AS4" s="4" t="s">
        <v>332</v>
      </c>
      <c r="AT4" s="4" t="s">
        <v>332</v>
      </c>
      <c r="AU4" s="4" t="s">
        <v>333</v>
      </c>
      <c r="AV4" s="4" t="n">
        <v>800</v>
      </c>
      <c r="AW4" s="4" t="n">
        <v>0.5</v>
      </c>
      <c r="AX4" s="4" t="n">
        <v>250</v>
      </c>
      <c r="AY4" s="4" t="n">
        <v>0</v>
      </c>
      <c r="BB4" s="4" t="n">
        <v>1513.19995117187</v>
      </c>
      <c r="BC4" s="4" t="n">
        <v>13.1999998092651</v>
      </c>
      <c r="BD4" s="4" t="n">
        <v>514.72998046875</v>
      </c>
      <c r="BE4" s="4" t="n">
        <v>14.7299995422363</v>
      </c>
      <c r="BH4" s="4" t="n">
        <v>200</v>
      </c>
      <c r="BI4" s="4" t="n">
        <v>32</v>
      </c>
      <c r="BN4" s="4" t="n">
        <v>0.5</v>
      </c>
      <c r="BO4" s="4" t="n">
        <v>-3</v>
      </c>
      <c r="BP4" s="4" t="n">
        <v>14.6499996185303</v>
      </c>
      <c r="BQ4" s="4" t="n">
        <v>60</v>
      </c>
      <c r="BR4" s="4" t="n">
        <v>13.1999998092651</v>
      </c>
      <c r="BV4" s="4" t="n">
        <v>1</v>
      </c>
      <c r="BW4" s="4" t="s">
        <v>334</v>
      </c>
      <c r="BX4" s="4" t="n">
        <v>60</v>
      </c>
      <c r="BY4" s="4" t="s">
        <v>332</v>
      </c>
      <c r="BZ4" s="4" t="s">
        <v>332</v>
      </c>
      <c r="CA4" s="4" t="s">
        <v>332</v>
      </c>
      <c r="CB4" s="4" t="s">
        <v>333</v>
      </c>
      <c r="CC4" s="4" t="s">
        <v>332</v>
      </c>
      <c r="CD4" s="4" t="s">
        <v>332</v>
      </c>
      <c r="CE4" s="4" t="s">
        <v>332</v>
      </c>
      <c r="CF4" s="4" t="s">
        <v>333</v>
      </c>
      <c r="CK4" s="169" t="n">
        <v>44793.5315277778</v>
      </c>
      <c r="CL4" s="169" t="n">
        <v>44793.5315277778</v>
      </c>
      <c r="CQ4" s="4" t="n">
        <v>1251</v>
      </c>
      <c r="CR4" s="4" t="n">
        <v>1.3</v>
      </c>
      <c r="CS4" s="21" t="n">
        <v>6.9E-006</v>
      </c>
      <c r="CT4" s="4" t="n">
        <v>0.7188</v>
      </c>
      <c r="CU4" s="4" t="s">
        <v>334</v>
      </c>
      <c r="CV4" s="169" t="n">
        <v>45027</v>
      </c>
      <c r="CW4" s="4" t="s">
        <v>327</v>
      </c>
      <c r="CX4" s="4" t="s">
        <v>340</v>
      </c>
      <c r="CY4" s="4" t="n">
        <v>94</v>
      </c>
      <c r="CZ4" s="4" t="n">
        <v>103</v>
      </c>
      <c r="DB4" s="4" t="s">
        <v>341</v>
      </c>
      <c r="DC4" s="4" t="s">
        <v>342</v>
      </c>
      <c r="DD4" s="4" t="s">
        <v>343</v>
      </c>
      <c r="DF4" s="4" t="n">
        <v>0.094</v>
      </c>
      <c r="DG4" s="4" t="n">
        <v>0.589</v>
      </c>
      <c r="DH4" s="4" t="n">
        <v>80.804</v>
      </c>
      <c r="DI4" s="4" t="n">
        <v>10.688</v>
      </c>
      <c r="DJ4" s="4" t="n">
        <v>4.16</v>
      </c>
      <c r="DK4" s="4" t="n">
        <v>0.697</v>
      </c>
      <c r="DL4" s="4" t="n">
        <v>1.341</v>
      </c>
      <c r="DM4" s="4" t="n">
        <v>0.376</v>
      </c>
      <c r="DN4" s="4" t="n">
        <v>0.415</v>
      </c>
      <c r="DO4" s="4" t="n">
        <v>0.836</v>
      </c>
      <c r="EQ4" s="4" t="s">
        <v>335</v>
      </c>
      <c r="FR4" s="4" t="s">
        <v>338</v>
      </c>
    </row>
    <row r="5" customFormat="false" ht="15" hidden="false" customHeight="false" outlineLevel="0" collapsed="false">
      <c r="A5" s="169" t="n">
        <v>45047.375</v>
      </c>
      <c r="B5" s="169" t="n">
        <v>45078.375</v>
      </c>
      <c r="C5" s="4" t="s">
        <v>40</v>
      </c>
      <c r="D5" s="4" t="s">
        <v>344</v>
      </c>
      <c r="E5" s="4" t="n">
        <v>0</v>
      </c>
      <c r="F5" s="4" t="n">
        <v>0</v>
      </c>
      <c r="G5" s="4" t="n">
        <v>0</v>
      </c>
      <c r="I5" s="4" t="n">
        <v>13.3571218649546</v>
      </c>
      <c r="J5" s="4" t="n">
        <v>78.8065221078934</v>
      </c>
      <c r="K5" s="4" t="n">
        <v>0</v>
      </c>
      <c r="L5" s="4" t="n">
        <v>0</v>
      </c>
      <c r="P5" s="4" t="s">
        <v>324</v>
      </c>
      <c r="Q5" s="4" t="s">
        <v>325</v>
      </c>
      <c r="T5" s="4" t="s">
        <v>326</v>
      </c>
      <c r="U5" s="4" t="s">
        <v>40</v>
      </c>
      <c r="V5" s="170" t="n">
        <v>43508</v>
      </c>
      <c r="W5" s="4" t="n">
        <v>1</v>
      </c>
      <c r="X5" s="4" t="n">
        <v>9</v>
      </c>
      <c r="AA5" s="4" t="n">
        <v>2.125</v>
      </c>
      <c r="AB5" s="4" t="n">
        <v>68</v>
      </c>
      <c r="AC5" s="4" t="s">
        <v>327</v>
      </c>
      <c r="AD5" s="4" t="n">
        <v>4.02600002288818</v>
      </c>
      <c r="AE5" s="4" t="n">
        <v>68</v>
      </c>
      <c r="AF5" s="4" t="s">
        <v>328</v>
      </c>
      <c r="AG5" s="4" t="s">
        <v>329</v>
      </c>
      <c r="AH5" s="4" t="s">
        <v>330</v>
      </c>
      <c r="AI5" s="4" t="s">
        <v>331</v>
      </c>
      <c r="AR5" s="4" t="s">
        <v>332</v>
      </c>
      <c r="AS5" s="4" t="s">
        <v>332</v>
      </c>
      <c r="AT5" s="4" t="s">
        <v>332</v>
      </c>
      <c r="AU5" s="4" t="s">
        <v>333</v>
      </c>
      <c r="AV5" s="4" t="n">
        <v>250</v>
      </c>
      <c r="AW5" s="4" t="n">
        <v>0.5</v>
      </c>
      <c r="AX5" s="4" t="n">
        <v>250</v>
      </c>
      <c r="AY5" s="4" t="n">
        <v>0</v>
      </c>
      <c r="BB5" s="4" t="n">
        <v>1513.19995117187</v>
      </c>
      <c r="BC5" s="4" t="n">
        <v>13.1999998092651</v>
      </c>
      <c r="BD5" s="4" t="n">
        <v>263.200012207031</v>
      </c>
      <c r="BE5" s="4" t="n">
        <v>13.1999998092651</v>
      </c>
      <c r="BH5" s="4" t="n">
        <v>200</v>
      </c>
      <c r="BI5" s="4" t="n">
        <v>32</v>
      </c>
      <c r="BN5" s="4" t="n">
        <v>0.5</v>
      </c>
      <c r="BO5" s="4" t="n">
        <v>-3</v>
      </c>
      <c r="BP5" s="4" t="n">
        <v>14.6499996185303</v>
      </c>
      <c r="BQ5" s="4" t="n">
        <v>60</v>
      </c>
      <c r="BR5" s="4" t="n">
        <v>13.1999998092651</v>
      </c>
      <c r="BV5" s="4" t="n">
        <v>1</v>
      </c>
      <c r="BW5" s="4" t="s">
        <v>334</v>
      </c>
      <c r="BX5" s="4" t="n">
        <v>60</v>
      </c>
      <c r="BY5" s="4" t="s">
        <v>332</v>
      </c>
      <c r="BZ5" s="4" t="s">
        <v>332</v>
      </c>
      <c r="CA5" s="4" t="s">
        <v>332</v>
      </c>
      <c r="CB5" s="4" t="s">
        <v>333</v>
      </c>
      <c r="CC5" s="4" t="s">
        <v>332</v>
      </c>
      <c r="CD5" s="4" t="s">
        <v>332</v>
      </c>
      <c r="CE5" s="4" t="s">
        <v>332</v>
      </c>
      <c r="CF5" s="4" t="s">
        <v>333</v>
      </c>
      <c r="CK5" s="169" t="n">
        <v>43649.8780092593</v>
      </c>
      <c r="CQ5" s="4" t="n">
        <v>1199</v>
      </c>
      <c r="CR5" s="4" t="n">
        <v>1.29999995231628</v>
      </c>
      <c r="CS5" s="4" t="n">
        <v>0.0102679999545217</v>
      </c>
      <c r="CT5" s="4" t="n">
        <v>0.6846</v>
      </c>
      <c r="CU5" s="4" t="s">
        <v>334</v>
      </c>
      <c r="CV5" s="169" t="n">
        <v>44713</v>
      </c>
      <c r="CW5" s="4" t="s">
        <v>327</v>
      </c>
      <c r="DF5" s="4" t="n">
        <v>0.075</v>
      </c>
      <c r="DG5" s="4" t="n">
        <v>0.598</v>
      </c>
      <c r="DH5" s="4" t="n">
        <v>82.24</v>
      </c>
      <c r="DI5" s="4" t="n">
        <v>10.975</v>
      </c>
      <c r="DJ5" s="4" t="n">
        <v>4.042</v>
      </c>
      <c r="DK5" s="4" t="n">
        <v>0.592</v>
      </c>
      <c r="DL5" s="4" t="n">
        <v>1</v>
      </c>
      <c r="DM5" s="4" t="n">
        <v>0.176</v>
      </c>
      <c r="DN5" s="4" t="n">
        <v>0.17</v>
      </c>
      <c r="DO5" s="4" t="n">
        <v>0.132</v>
      </c>
      <c r="EQ5" s="4" t="s">
        <v>335</v>
      </c>
      <c r="FR5" s="4" t="s">
        <v>345</v>
      </c>
    </row>
    <row r="6" customFormat="false" ht="15" hidden="false" customHeight="false" outlineLevel="0" collapsed="false">
      <c r="A6" s="169" t="n">
        <v>45047.375</v>
      </c>
      <c r="B6" s="169" t="n">
        <v>45078.375</v>
      </c>
      <c r="C6" s="4" t="s">
        <v>41</v>
      </c>
      <c r="D6" s="4" t="s">
        <v>346</v>
      </c>
      <c r="E6" s="4" t="n">
        <v>16278.35</v>
      </c>
      <c r="F6" s="4" t="n">
        <v>20543.28</v>
      </c>
      <c r="G6" s="4" t="n">
        <v>186.483574831698</v>
      </c>
      <c r="I6" s="4" t="n">
        <v>94.6172602500156</v>
      </c>
      <c r="J6" s="4" t="n">
        <v>81.4497945849687</v>
      </c>
      <c r="K6" s="4" t="n">
        <v>24555.2833333333</v>
      </c>
      <c r="L6" s="4" t="n">
        <v>5.43214715781925</v>
      </c>
      <c r="N6" s="4" t="n">
        <v>1.00844720065372</v>
      </c>
      <c r="P6" s="4" t="s">
        <v>324</v>
      </c>
      <c r="Q6" s="4" t="s">
        <v>325</v>
      </c>
      <c r="T6" s="4" t="s">
        <v>326</v>
      </c>
      <c r="U6" s="4" t="s">
        <v>41</v>
      </c>
      <c r="V6" s="170" t="n">
        <v>43508</v>
      </c>
      <c r="W6" s="4" t="n">
        <v>1</v>
      </c>
      <c r="X6" s="4" t="n">
        <v>9</v>
      </c>
      <c r="AA6" s="4" t="n">
        <v>1.25</v>
      </c>
      <c r="AB6" s="4" t="n">
        <v>68</v>
      </c>
      <c r="AC6" s="4" t="s">
        <v>327</v>
      </c>
      <c r="AD6" s="4" t="n">
        <v>4.02600002288818</v>
      </c>
      <c r="AE6" s="4" t="n">
        <v>68</v>
      </c>
      <c r="AF6" s="4" t="s">
        <v>328</v>
      </c>
      <c r="AG6" s="4" t="s">
        <v>329</v>
      </c>
      <c r="AH6" s="4" t="s">
        <v>330</v>
      </c>
      <c r="AI6" s="4" t="s">
        <v>331</v>
      </c>
      <c r="AR6" s="4" t="s">
        <v>332</v>
      </c>
      <c r="AS6" s="4" t="s">
        <v>332</v>
      </c>
      <c r="AT6" s="4" t="s">
        <v>332</v>
      </c>
      <c r="AU6" s="4" t="s">
        <v>333</v>
      </c>
      <c r="AV6" s="4" t="n">
        <v>250</v>
      </c>
      <c r="AW6" s="4" t="n">
        <v>0.5</v>
      </c>
      <c r="AX6" s="4" t="n">
        <v>250</v>
      </c>
      <c r="AY6" s="4" t="n">
        <v>0</v>
      </c>
      <c r="BB6" s="4" t="n">
        <v>1513.19995117187</v>
      </c>
      <c r="BC6" s="4" t="n">
        <v>13.1999998092651</v>
      </c>
      <c r="BD6" s="4" t="n">
        <v>500</v>
      </c>
      <c r="BE6" s="4" t="n">
        <v>0</v>
      </c>
      <c r="BH6" s="4" t="n">
        <v>200</v>
      </c>
      <c r="BI6" s="4" t="n">
        <v>32</v>
      </c>
      <c r="BN6" s="4" t="n">
        <v>0.5</v>
      </c>
      <c r="BO6" s="4" t="n">
        <v>-3</v>
      </c>
      <c r="BP6" s="4" t="n">
        <v>14.6499996185303</v>
      </c>
      <c r="BQ6" s="4" t="n">
        <v>60</v>
      </c>
      <c r="BR6" s="4" t="n">
        <v>13.1999998092651</v>
      </c>
      <c r="BV6" s="4" t="n">
        <v>1</v>
      </c>
      <c r="BW6" s="4" t="s">
        <v>334</v>
      </c>
      <c r="BX6" s="4" t="n">
        <v>60</v>
      </c>
      <c r="BY6" s="4" t="s">
        <v>332</v>
      </c>
      <c r="BZ6" s="4" t="s">
        <v>332</v>
      </c>
      <c r="CA6" s="4" t="s">
        <v>332</v>
      </c>
      <c r="CB6" s="4" t="s">
        <v>333</v>
      </c>
      <c r="CC6" s="4" t="s">
        <v>332</v>
      </c>
      <c r="CD6" s="4" t="s">
        <v>332</v>
      </c>
      <c r="CE6" s="4" t="s">
        <v>332</v>
      </c>
      <c r="CF6" s="4" t="s">
        <v>333</v>
      </c>
      <c r="CK6" s="169" t="n">
        <v>44091.4228240741</v>
      </c>
      <c r="CQ6" s="4" t="n">
        <v>1262</v>
      </c>
      <c r="CR6" s="4" t="n">
        <v>1.3</v>
      </c>
      <c r="CS6" s="21" t="n">
        <v>6.9E-006</v>
      </c>
      <c r="CT6" s="4" t="n">
        <v>0.726</v>
      </c>
      <c r="CU6" s="4" t="s">
        <v>334</v>
      </c>
      <c r="CV6" s="169" t="n">
        <v>44944</v>
      </c>
      <c r="CW6" s="4" t="s">
        <v>327</v>
      </c>
      <c r="CX6" s="4" t="s">
        <v>340</v>
      </c>
      <c r="CY6" s="4" t="n">
        <v>67</v>
      </c>
      <c r="CZ6" s="4" t="n">
        <v>74</v>
      </c>
      <c r="DB6" s="4" t="s">
        <v>341</v>
      </c>
      <c r="DC6" s="4" t="s">
        <v>347</v>
      </c>
      <c r="DD6" s="4" t="s">
        <v>348</v>
      </c>
      <c r="DF6" s="4" t="n">
        <v>0.116</v>
      </c>
      <c r="DG6" s="4" t="n">
        <v>0.607</v>
      </c>
      <c r="DH6" s="4" t="n">
        <v>80.086</v>
      </c>
      <c r="DI6" s="4" t="n">
        <v>10.925</v>
      </c>
      <c r="DJ6" s="4" t="n">
        <v>4.435</v>
      </c>
      <c r="DK6" s="4" t="n">
        <v>0.702</v>
      </c>
      <c r="DL6" s="4" t="n">
        <v>1.436</v>
      </c>
      <c r="DM6" s="4" t="n">
        <v>0.363</v>
      </c>
      <c r="DN6" s="4" t="n">
        <v>0.448</v>
      </c>
      <c r="DO6" s="4" t="n">
        <v>0.882</v>
      </c>
      <c r="EQ6" s="4" t="s">
        <v>335</v>
      </c>
      <c r="FR6" s="4" t="s">
        <v>336</v>
      </c>
    </row>
    <row r="7" customFormat="false" ht="15" hidden="false" customHeight="false" outlineLevel="0" collapsed="false">
      <c r="A7" s="169" t="n">
        <v>45047.375</v>
      </c>
      <c r="B7" s="169" t="n">
        <v>45078.375</v>
      </c>
      <c r="C7" s="4" t="s">
        <v>42</v>
      </c>
      <c r="D7" s="4" t="s">
        <v>349</v>
      </c>
      <c r="E7" s="4" t="n">
        <v>12576.36</v>
      </c>
      <c r="F7" s="4" t="n">
        <v>15619.84</v>
      </c>
      <c r="G7" s="4" t="n">
        <v>35.635633164257</v>
      </c>
      <c r="I7" s="4" t="n">
        <v>93.7953254304999</v>
      </c>
      <c r="J7" s="4" t="n">
        <v>80.6438741754455</v>
      </c>
      <c r="K7" s="4" t="n">
        <v>27640.0666666667</v>
      </c>
      <c r="L7" s="4" t="n">
        <v>2.39241505644715</v>
      </c>
      <c r="N7" s="4" t="n">
        <v>1.00806511479903</v>
      </c>
      <c r="P7" s="4" t="s">
        <v>324</v>
      </c>
      <c r="Q7" s="4" t="s">
        <v>325</v>
      </c>
      <c r="T7" s="4" t="s">
        <v>326</v>
      </c>
      <c r="U7" s="4" t="s">
        <v>42</v>
      </c>
      <c r="V7" s="170" t="n">
        <v>43502</v>
      </c>
      <c r="W7" s="4" t="n">
        <v>1</v>
      </c>
      <c r="X7" s="4" t="n">
        <v>9</v>
      </c>
      <c r="AA7" s="4" t="n">
        <v>1.5</v>
      </c>
      <c r="AB7" s="4" t="n">
        <v>68</v>
      </c>
      <c r="AC7" s="4" t="s">
        <v>327</v>
      </c>
      <c r="AD7" s="4" t="n">
        <v>4.02600002288818</v>
      </c>
      <c r="AE7" s="4" t="n">
        <v>68</v>
      </c>
      <c r="AF7" s="4" t="s">
        <v>328</v>
      </c>
      <c r="AG7" s="4" t="s">
        <v>329</v>
      </c>
      <c r="AH7" s="4" t="s">
        <v>330</v>
      </c>
      <c r="AI7" s="4" t="s">
        <v>331</v>
      </c>
      <c r="AR7" s="4" t="s">
        <v>332</v>
      </c>
      <c r="AS7" s="4" t="s">
        <v>332</v>
      </c>
      <c r="AT7" s="4" t="s">
        <v>332</v>
      </c>
      <c r="AU7" s="4" t="s">
        <v>333</v>
      </c>
      <c r="AV7" s="4" t="n">
        <v>250</v>
      </c>
      <c r="AW7" s="4" t="n">
        <v>0.5</v>
      </c>
      <c r="AX7" s="4" t="n">
        <v>250</v>
      </c>
      <c r="AY7" s="4" t="n">
        <v>0</v>
      </c>
      <c r="BB7" s="4" t="n">
        <v>1513.19995117187</v>
      </c>
      <c r="BC7" s="4" t="n">
        <v>13.1999998092651</v>
      </c>
      <c r="BD7" s="4" t="n">
        <v>263.200012207031</v>
      </c>
      <c r="BE7" s="4" t="n">
        <v>13.1999998092651</v>
      </c>
      <c r="BH7" s="4" t="n">
        <v>200</v>
      </c>
      <c r="BI7" s="4" t="n">
        <v>32</v>
      </c>
      <c r="BN7" s="4" t="n">
        <v>0.5</v>
      </c>
      <c r="BO7" s="4" t="n">
        <v>-3</v>
      </c>
      <c r="BP7" s="4" t="n">
        <v>14.6499996185303</v>
      </c>
      <c r="BQ7" s="4" t="n">
        <v>60</v>
      </c>
      <c r="BR7" s="4" t="n">
        <v>13.1999998092651</v>
      </c>
      <c r="BV7" s="4" t="n">
        <v>1</v>
      </c>
      <c r="BW7" s="4" t="s">
        <v>334</v>
      </c>
      <c r="BX7" s="4" t="n">
        <v>60</v>
      </c>
      <c r="BY7" s="4" t="s">
        <v>332</v>
      </c>
      <c r="BZ7" s="4" t="s">
        <v>332</v>
      </c>
      <c r="CA7" s="4" t="s">
        <v>332</v>
      </c>
      <c r="CB7" s="4" t="s">
        <v>333</v>
      </c>
      <c r="CC7" s="4" t="s">
        <v>332</v>
      </c>
      <c r="CD7" s="4" t="s">
        <v>332</v>
      </c>
      <c r="CE7" s="4" t="s">
        <v>332</v>
      </c>
      <c r="CF7" s="4" t="s">
        <v>333</v>
      </c>
      <c r="CK7" s="169" t="n">
        <v>43497.4297106481</v>
      </c>
      <c r="CL7" s="169" t="n">
        <v>43476.6872222222</v>
      </c>
      <c r="CQ7" s="4" t="n">
        <v>1242</v>
      </c>
      <c r="CR7" s="4" t="n">
        <v>1.3</v>
      </c>
      <c r="CS7" s="21" t="n">
        <v>6.9E-006</v>
      </c>
      <c r="CT7" s="4" t="n">
        <v>0.7132</v>
      </c>
      <c r="CU7" s="4" t="s">
        <v>334</v>
      </c>
      <c r="CV7" s="169" t="n">
        <v>44944</v>
      </c>
      <c r="CW7" s="4" t="s">
        <v>327</v>
      </c>
      <c r="CX7" s="4" t="s">
        <v>350</v>
      </c>
      <c r="CY7" s="4" t="n">
        <v>67</v>
      </c>
      <c r="CZ7" s="4" t="n">
        <v>64</v>
      </c>
      <c r="DB7" s="4" t="s">
        <v>341</v>
      </c>
      <c r="DC7" s="4" t="s">
        <v>351</v>
      </c>
      <c r="DD7" s="4" t="s">
        <v>348</v>
      </c>
      <c r="DF7" s="4" t="n">
        <v>0.106</v>
      </c>
      <c r="DG7" s="4" t="n">
        <v>0.649</v>
      </c>
      <c r="DH7" s="4" t="n">
        <v>80.641</v>
      </c>
      <c r="DI7" s="4" t="n">
        <v>10.992</v>
      </c>
      <c r="DJ7" s="4" t="n">
        <v>4.336</v>
      </c>
      <c r="DK7" s="4" t="n">
        <v>0.668</v>
      </c>
      <c r="DL7" s="4" t="n">
        <v>1.343</v>
      </c>
      <c r="DM7" s="4" t="n">
        <v>0.308</v>
      </c>
      <c r="DN7" s="4" t="n">
        <v>0.352</v>
      </c>
      <c r="DO7" s="4" t="n">
        <v>0.605</v>
      </c>
      <c r="EQ7" s="4" t="s">
        <v>335</v>
      </c>
      <c r="FR7" s="4" t="s">
        <v>336</v>
      </c>
    </row>
    <row r="8" customFormat="false" ht="15" hidden="false" customHeight="false" outlineLevel="0" collapsed="false">
      <c r="A8" s="169" t="n">
        <v>45047.375</v>
      </c>
      <c r="B8" s="169" t="n">
        <v>45078.375</v>
      </c>
      <c r="C8" s="4" t="s">
        <v>43</v>
      </c>
      <c r="D8" s="4" t="s">
        <v>352</v>
      </c>
      <c r="E8" s="4" t="n">
        <v>24861.69</v>
      </c>
      <c r="F8" s="4" t="n">
        <v>32195.89</v>
      </c>
      <c r="G8" s="4" t="n">
        <v>66.0102564832169</v>
      </c>
      <c r="I8" s="4" t="n">
        <v>92.7763482205855</v>
      </c>
      <c r="J8" s="4" t="n">
        <v>75.0075733104629</v>
      </c>
      <c r="K8" s="4" t="n">
        <v>20827.9666666667</v>
      </c>
      <c r="L8" s="4" t="n">
        <v>3.15504599683387</v>
      </c>
      <c r="N8" s="4" t="n">
        <v>1.00927044633198</v>
      </c>
      <c r="P8" s="4" t="s">
        <v>324</v>
      </c>
      <c r="Q8" s="4" t="s">
        <v>325</v>
      </c>
      <c r="T8" s="4" t="s">
        <v>326</v>
      </c>
      <c r="U8" s="4" t="s">
        <v>43</v>
      </c>
      <c r="V8" s="170" t="n">
        <v>43508</v>
      </c>
      <c r="W8" s="4" t="n">
        <v>1</v>
      </c>
      <c r="X8" s="4" t="n">
        <v>9</v>
      </c>
      <c r="AA8" s="4" t="n">
        <v>2.125</v>
      </c>
      <c r="AB8" s="4" t="n">
        <v>68</v>
      </c>
      <c r="AC8" s="4" t="s">
        <v>327</v>
      </c>
      <c r="AD8" s="4" t="n">
        <v>4.02600002288818</v>
      </c>
      <c r="AE8" s="4" t="n">
        <v>68</v>
      </c>
      <c r="AF8" s="4" t="s">
        <v>328</v>
      </c>
      <c r="AG8" s="4" t="s">
        <v>329</v>
      </c>
      <c r="AH8" s="4" t="s">
        <v>330</v>
      </c>
      <c r="AI8" s="4" t="s">
        <v>331</v>
      </c>
      <c r="AR8" s="4" t="s">
        <v>332</v>
      </c>
      <c r="AS8" s="4" t="s">
        <v>332</v>
      </c>
      <c r="AT8" s="4" t="s">
        <v>332</v>
      </c>
      <c r="AU8" s="4" t="s">
        <v>333</v>
      </c>
      <c r="AV8" s="4" t="n">
        <v>800</v>
      </c>
      <c r="AW8" s="4" t="n">
        <v>0.5</v>
      </c>
      <c r="AX8" s="4" t="n">
        <v>250</v>
      </c>
      <c r="AY8" s="4" t="n">
        <v>0</v>
      </c>
      <c r="BB8" s="4" t="n">
        <v>1513.19995117187</v>
      </c>
      <c r="BC8" s="4" t="n">
        <v>13.1999998092651</v>
      </c>
      <c r="BD8" s="4" t="n">
        <v>1513.19995117187</v>
      </c>
      <c r="BE8" s="4" t="n">
        <v>13.1999998092651</v>
      </c>
      <c r="BH8" s="4" t="n">
        <v>200</v>
      </c>
      <c r="BI8" s="4" t="n">
        <v>32</v>
      </c>
      <c r="BN8" s="4" t="n">
        <v>0.5</v>
      </c>
      <c r="BO8" s="4" t="n">
        <v>-3</v>
      </c>
      <c r="BP8" s="4" t="n">
        <v>14.6499996185303</v>
      </c>
      <c r="BQ8" s="4" t="n">
        <v>60</v>
      </c>
      <c r="BR8" s="4" t="n">
        <v>13.1999998092651</v>
      </c>
      <c r="BV8" s="4" t="n">
        <v>1</v>
      </c>
      <c r="BW8" s="4" t="s">
        <v>334</v>
      </c>
      <c r="BX8" s="4" t="n">
        <v>60</v>
      </c>
      <c r="BY8" s="4" t="s">
        <v>332</v>
      </c>
      <c r="BZ8" s="4" t="s">
        <v>332</v>
      </c>
      <c r="CA8" s="4" t="s">
        <v>332</v>
      </c>
      <c r="CB8" s="4" t="s">
        <v>333</v>
      </c>
      <c r="CC8" s="4" t="s">
        <v>332</v>
      </c>
      <c r="CD8" s="4" t="s">
        <v>332</v>
      </c>
      <c r="CE8" s="4" t="s">
        <v>332</v>
      </c>
      <c r="CF8" s="4" t="s">
        <v>333</v>
      </c>
      <c r="CK8" s="169" t="n">
        <v>44976.4055902778</v>
      </c>
      <c r="CL8" s="169" t="n">
        <v>44976.4055902778</v>
      </c>
      <c r="CQ8" s="4" t="n">
        <v>1295</v>
      </c>
      <c r="CR8" s="4" t="n">
        <v>1.3</v>
      </c>
      <c r="CS8" s="21" t="n">
        <v>6.9E-006</v>
      </c>
      <c r="CT8" s="4" t="n">
        <v>0.7469</v>
      </c>
      <c r="CU8" s="4" t="s">
        <v>334</v>
      </c>
      <c r="CV8" s="169" t="n">
        <v>44771</v>
      </c>
      <c r="CW8" s="4" t="s">
        <v>327</v>
      </c>
      <c r="CX8" s="4" t="s">
        <v>340</v>
      </c>
      <c r="CY8" s="4" t="n">
        <v>122</v>
      </c>
      <c r="CZ8" s="4" t="n">
        <v>91</v>
      </c>
      <c r="DB8" s="4" t="s">
        <v>353</v>
      </c>
      <c r="DC8" s="4" t="s">
        <v>354</v>
      </c>
      <c r="DD8" s="4" t="s">
        <v>355</v>
      </c>
      <c r="DF8" s="4" t="n">
        <v>0.114</v>
      </c>
      <c r="DG8" s="4" t="n">
        <v>0.576</v>
      </c>
      <c r="DH8" s="4" t="n">
        <v>78.583</v>
      </c>
      <c r="DI8" s="4" t="n">
        <v>11.327</v>
      </c>
      <c r="DJ8" s="4" t="n">
        <v>4.8</v>
      </c>
      <c r="DK8" s="4" t="n">
        <v>0.858</v>
      </c>
      <c r="DL8" s="4" t="n">
        <v>1.633</v>
      </c>
      <c r="DM8" s="4" t="n">
        <v>0.44</v>
      </c>
      <c r="DN8" s="4" t="n">
        <v>0.502</v>
      </c>
      <c r="DO8" s="4" t="n">
        <v>1.167</v>
      </c>
      <c r="EQ8" s="4" t="s">
        <v>335</v>
      </c>
      <c r="FR8" s="4" t="s">
        <v>356</v>
      </c>
    </row>
    <row r="9" customFormat="false" ht="15" hidden="false" customHeight="false" outlineLevel="0" collapsed="false">
      <c r="A9" s="169" t="n">
        <v>45047.375</v>
      </c>
      <c r="B9" s="169" t="n">
        <v>45078.375</v>
      </c>
      <c r="C9" s="4" t="s">
        <v>44</v>
      </c>
      <c r="D9" s="4" t="s">
        <v>357</v>
      </c>
      <c r="E9" s="4" t="n">
        <v>8689.66</v>
      </c>
      <c r="F9" s="4" t="n">
        <v>10670.91</v>
      </c>
      <c r="G9" s="4" t="n">
        <v>68.87687619952</v>
      </c>
      <c r="I9" s="4" t="n">
        <v>90.7908598746099</v>
      </c>
      <c r="J9" s="4" t="n">
        <v>75.4517805073168</v>
      </c>
      <c r="K9" s="4" t="n">
        <v>17430.1</v>
      </c>
      <c r="L9" s="4" t="n">
        <v>3.0793202214912</v>
      </c>
      <c r="N9" s="4" t="n">
        <v>1.00802046159362</v>
      </c>
      <c r="P9" s="4" t="s">
        <v>324</v>
      </c>
      <c r="Q9" s="4" t="s">
        <v>325</v>
      </c>
      <c r="T9" s="4" t="s">
        <v>326</v>
      </c>
      <c r="U9" s="4" t="s">
        <v>44</v>
      </c>
      <c r="V9" s="170" t="n">
        <v>43508</v>
      </c>
      <c r="W9" s="4" t="n">
        <v>1</v>
      </c>
      <c r="X9" s="4" t="n">
        <v>9</v>
      </c>
      <c r="AA9" s="4" t="n">
        <v>1.5</v>
      </c>
      <c r="AB9" s="4" t="n">
        <v>68</v>
      </c>
      <c r="AC9" s="4" t="s">
        <v>327</v>
      </c>
      <c r="AD9" s="4" t="n">
        <v>4.02600002288818</v>
      </c>
      <c r="AE9" s="4" t="n">
        <v>68</v>
      </c>
      <c r="AF9" s="4" t="s">
        <v>328</v>
      </c>
      <c r="AG9" s="4" t="s">
        <v>329</v>
      </c>
      <c r="AH9" s="4" t="s">
        <v>330</v>
      </c>
      <c r="AI9" s="4" t="s">
        <v>331</v>
      </c>
      <c r="AR9" s="4" t="s">
        <v>332</v>
      </c>
      <c r="AS9" s="4" t="s">
        <v>332</v>
      </c>
      <c r="AT9" s="4" t="s">
        <v>332</v>
      </c>
      <c r="AU9" s="4" t="s">
        <v>333</v>
      </c>
      <c r="AV9" s="4" t="n">
        <v>250</v>
      </c>
      <c r="AW9" s="4" t="n">
        <v>0.5</v>
      </c>
      <c r="AX9" s="4" t="n">
        <v>250</v>
      </c>
      <c r="AY9" s="4" t="n">
        <v>0</v>
      </c>
      <c r="BB9" s="4" t="n">
        <v>1513.19995117187</v>
      </c>
      <c r="BC9" s="4" t="n">
        <v>13.1999998092651</v>
      </c>
      <c r="BD9" s="4" t="n">
        <v>1513.19995117187</v>
      </c>
      <c r="BE9" s="4" t="n">
        <v>13.1999998092651</v>
      </c>
      <c r="BH9" s="4" t="n">
        <v>200</v>
      </c>
      <c r="BI9" s="4" t="n">
        <v>32</v>
      </c>
      <c r="BN9" s="4" t="n">
        <v>0.5</v>
      </c>
      <c r="BO9" s="4" t="n">
        <v>-3</v>
      </c>
      <c r="BP9" s="4" t="n">
        <v>14.6499996185303</v>
      </c>
      <c r="BQ9" s="4" t="n">
        <v>60</v>
      </c>
      <c r="BR9" s="4" t="n">
        <v>13.1999998092651</v>
      </c>
      <c r="BV9" s="4" t="n">
        <v>1</v>
      </c>
      <c r="BW9" s="4" t="s">
        <v>334</v>
      </c>
      <c r="BX9" s="4" t="n">
        <v>60</v>
      </c>
      <c r="BY9" s="4" t="s">
        <v>332</v>
      </c>
      <c r="BZ9" s="4" t="s">
        <v>332</v>
      </c>
      <c r="CA9" s="4" t="s">
        <v>332</v>
      </c>
      <c r="CB9" s="4" t="s">
        <v>333</v>
      </c>
      <c r="CC9" s="4" t="s">
        <v>332</v>
      </c>
      <c r="CD9" s="4" t="s">
        <v>332</v>
      </c>
      <c r="CE9" s="4" t="s">
        <v>332</v>
      </c>
      <c r="CF9" s="4" t="s">
        <v>333</v>
      </c>
      <c r="CK9" s="169" t="n">
        <v>43497.4190162037</v>
      </c>
      <c r="CQ9" s="4" t="n">
        <v>1228</v>
      </c>
      <c r="CR9" s="4" t="n">
        <v>1.29999995231628</v>
      </c>
      <c r="CS9" s="4" t="n">
        <v>0.0102679999545217</v>
      </c>
      <c r="CT9" s="4" t="n">
        <v>0.7171</v>
      </c>
      <c r="CU9" s="4" t="s">
        <v>334</v>
      </c>
      <c r="CV9" s="169" t="n">
        <v>44713</v>
      </c>
      <c r="CW9" s="4" t="s">
        <v>327</v>
      </c>
      <c r="DF9" s="4" t="n">
        <v>0.063</v>
      </c>
      <c r="DG9" s="4" t="n">
        <v>1.904</v>
      </c>
      <c r="DH9" s="4" t="n">
        <v>79.513</v>
      </c>
      <c r="DI9" s="4" t="n">
        <v>10.982</v>
      </c>
      <c r="DJ9" s="4" t="n">
        <v>4.229</v>
      </c>
      <c r="DK9" s="4" t="n">
        <v>0.698</v>
      </c>
      <c r="DL9" s="4" t="n">
        <v>1.331</v>
      </c>
      <c r="DM9" s="4" t="n">
        <v>0.336</v>
      </c>
      <c r="DN9" s="4" t="n">
        <v>0.371</v>
      </c>
      <c r="DO9" s="4" t="n">
        <v>0.573</v>
      </c>
      <c r="EQ9" s="4" t="s">
        <v>335</v>
      </c>
      <c r="FR9" s="4" t="s">
        <v>345</v>
      </c>
    </row>
    <row r="10" customFormat="false" ht="15" hidden="false" customHeight="false" outlineLevel="0" collapsed="false">
      <c r="A10" s="169" t="n">
        <v>45047.375</v>
      </c>
      <c r="B10" s="169" t="n">
        <v>45078.375</v>
      </c>
      <c r="C10" s="4" t="s">
        <v>45</v>
      </c>
      <c r="D10" s="4" t="s">
        <v>358</v>
      </c>
      <c r="E10" s="4" t="n">
        <v>411540.2</v>
      </c>
      <c r="F10" s="4" t="n">
        <v>513190.63</v>
      </c>
      <c r="G10" s="4" t="n">
        <v>94.9406852676803</v>
      </c>
      <c r="I10" s="4" t="n">
        <v>91.9550793211202</v>
      </c>
      <c r="J10" s="4" t="n">
        <v>79.9335406297994</v>
      </c>
      <c r="K10" s="4" t="n">
        <v>44565.4333333333</v>
      </c>
      <c r="L10" s="4" t="n">
        <v>3.92986326900752</v>
      </c>
      <c r="N10" s="4" t="n">
        <v>1.00797470753162</v>
      </c>
      <c r="P10" s="4" t="s">
        <v>324</v>
      </c>
      <c r="Q10" s="4" t="s">
        <v>325</v>
      </c>
      <c r="T10" s="4" t="s">
        <v>326</v>
      </c>
      <c r="U10" s="4" t="s">
        <v>45</v>
      </c>
      <c r="V10" s="170" t="n">
        <v>44228</v>
      </c>
      <c r="W10" s="4" t="n">
        <v>1</v>
      </c>
      <c r="X10" s="4" t="n">
        <v>9</v>
      </c>
      <c r="AA10" s="4" t="n">
        <v>4.875</v>
      </c>
      <c r="AB10" s="4" t="n">
        <v>68</v>
      </c>
      <c r="AC10" s="4" t="s">
        <v>327</v>
      </c>
      <c r="AD10" s="4" t="n">
        <v>7.625</v>
      </c>
      <c r="AE10" s="4" t="n">
        <v>68</v>
      </c>
      <c r="AF10" s="4" t="s">
        <v>328</v>
      </c>
      <c r="AG10" s="4" t="s">
        <v>329</v>
      </c>
      <c r="AH10" s="4" t="s">
        <v>330</v>
      </c>
      <c r="AI10" s="4" t="s">
        <v>331</v>
      </c>
      <c r="AR10" s="4" t="s">
        <v>332</v>
      </c>
      <c r="AS10" s="4" t="s">
        <v>332</v>
      </c>
      <c r="AT10" s="4" t="s">
        <v>332</v>
      </c>
      <c r="AU10" s="4" t="s">
        <v>333</v>
      </c>
      <c r="AV10" s="4" t="n">
        <v>2047</v>
      </c>
      <c r="AW10" s="4" t="n">
        <v>0</v>
      </c>
      <c r="AX10" s="4" t="n">
        <v>400</v>
      </c>
      <c r="AY10" s="4" t="n">
        <v>0</v>
      </c>
      <c r="BB10" s="4" t="n">
        <v>2047.96875</v>
      </c>
      <c r="BC10" s="4" t="n">
        <v>0</v>
      </c>
      <c r="BD10" s="4" t="n">
        <v>263.200012207031</v>
      </c>
      <c r="BE10" s="4" t="n">
        <v>13.1999998092651</v>
      </c>
      <c r="BH10" s="4" t="n">
        <v>420</v>
      </c>
      <c r="BI10" s="4" t="n">
        <v>0</v>
      </c>
      <c r="BN10" s="4" t="n">
        <v>0.5</v>
      </c>
      <c r="BO10" s="4" t="n">
        <v>-3</v>
      </c>
      <c r="BP10" s="4" t="n">
        <v>14.6499996185303</v>
      </c>
      <c r="BQ10" s="4" t="n">
        <v>60</v>
      </c>
      <c r="BR10" s="4" t="n">
        <v>13.1999998092651</v>
      </c>
      <c r="BV10" s="4" t="n">
        <v>1</v>
      </c>
      <c r="BW10" s="4" t="s">
        <v>334</v>
      </c>
      <c r="BX10" s="4" t="n">
        <v>60</v>
      </c>
      <c r="BY10" s="4" t="s">
        <v>332</v>
      </c>
      <c r="BZ10" s="4" t="s">
        <v>332</v>
      </c>
      <c r="CA10" s="4" t="s">
        <v>332</v>
      </c>
      <c r="CB10" s="4" t="s">
        <v>333</v>
      </c>
      <c r="CC10" s="4" t="s">
        <v>332</v>
      </c>
      <c r="CD10" s="4" t="s">
        <v>332</v>
      </c>
      <c r="CE10" s="4" t="s">
        <v>332</v>
      </c>
      <c r="CF10" s="4" t="s">
        <v>333</v>
      </c>
      <c r="CK10" s="169" t="n">
        <v>44938.5469097222</v>
      </c>
      <c r="CL10" s="169" t="n">
        <v>44938.5469097222</v>
      </c>
      <c r="CQ10" s="4" t="n">
        <v>1247</v>
      </c>
      <c r="CR10" s="4" t="n">
        <v>1.3</v>
      </c>
      <c r="CS10" s="21" t="n">
        <v>6.9E-006</v>
      </c>
      <c r="CT10" s="4" t="n">
        <v>0.7165</v>
      </c>
      <c r="CU10" s="4" t="s">
        <v>334</v>
      </c>
      <c r="CV10" s="169" t="n">
        <v>45056</v>
      </c>
      <c r="CW10" s="4" t="s">
        <v>327</v>
      </c>
      <c r="CX10" s="4" t="s">
        <v>350</v>
      </c>
      <c r="CY10" s="4" t="n">
        <v>76</v>
      </c>
      <c r="CZ10" s="4" t="n">
        <v>73</v>
      </c>
      <c r="DB10" s="4" t="s">
        <v>341</v>
      </c>
      <c r="DC10" s="4" t="s">
        <v>359</v>
      </c>
      <c r="DD10" s="4" t="s">
        <v>360</v>
      </c>
      <c r="DF10" s="4" t="n">
        <v>0.125</v>
      </c>
      <c r="DG10" s="4" t="n">
        <v>0.582</v>
      </c>
      <c r="DH10" s="4" t="n">
        <v>81.076</v>
      </c>
      <c r="DI10" s="4" t="n">
        <v>10.555</v>
      </c>
      <c r="DJ10" s="4" t="n">
        <v>4.037</v>
      </c>
      <c r="DK10" s="4" t="n">
        <v>0.705</v>
      </c>
      <c r="DL10" s="4" t="n">
        <v>1.318</v>
      </c>
      <c r="DM10" s="4" t="n">
        <v>0.372</v>
      </c>
      <c r="DN10" s="4" t="n">
        <v>0.396</v>
      </c>
      <c r="DO10" s="4" t="n">
        <v>0.834</v>
      </c>
      <c r="EQ10" s="4" t="s">
        <v>335</v>
      </c>
      <c r="FR10" s="4" t="s">
        <v>361</v>
      </c>
    </row>
    <row r="11" customFormat="false" ht="15" hidden="false" customHeight="false" outlineLevel="0" collapsed="false">
      <c r="A11" s="169" t="n">
        <v>45047.375</v>
      </c>
      <c r="B11" s="169" t="n">
        <v>45078.375</v>
      </c>
      <c r="C11" s="4" t="s">
        <v>46</v>
      </c>
      <c r="D11" s="4" t="s">
        <v>362</v>
      </c>
      <c r="E11" s="4" t="n">
        <v>279240.52</v>
      </c>
      <c r="F11" s="4" t="n">
        <v>366642.81</v>
      </c>
      <c r="G11" s="4" t="n">
        <v>44.3896679643827</v>
      </c>
      <c r="I11" s="4" t="n">
        <v>71.8741552947032</v>
      </c>
      <c r="J11" s="4" t="n">
        <v>87.6852171364913</v>
      </c>
      <c r="K11" s="4" t="n">
        <v>36198.3166666667</v>
      </c>
      <c r="L11" s="4" t="n">
        <v>2.35876758127953</v>
      </c>
      <c r="N11" s="4" t="n">
        <v>1.00633001151865</v>
      </c>
      <c r="P11" s="4" t="s">
        <v>324</v>
      </c>
      <c r="Q11" s="4" t="s">
        <v>325</v>
      </c>
      <c r="T11" s="4" t="s">
        <v>326</v>
      </c>
      <c r="U11" s="4" t="s">
        <v>46</v>
      </c>
      <c r="V11" s="170" t="n">
        <v>44858</v>
      </c>
      <c r="W11" s="4" t="n">
        <v>1</v>
      </c>
      <c r="X11" s="4" t="n">
        <v>9</v>
      </c>
      <c r="AA11" s="4" t="n">
        <v>6</v>
      </c>
      <c r="AB11" s="4" t="n">
        <v>68</v>
      </c>
      <c r="AC11" s="4" t="s">
        <v>327</v>
      </c>
      <c r="AD11" s="4" t="n">
        <v>11.3739995956421</v>
      </c>
      <c r="AE11" s="4" t="n">
        <v>68</v>
      </c>
      <c r="AF11" s="4" t="s">
        <v>328</v>
      </c>
      <c r="AG11" s="4" t="s">
        <v>329</v>
      </c>
      <c r="AH11" s="4" t="s">
        <v>330</v>
      </c>
      <c r="AI11" s="4" t="s">
        <v>331</v>
      </c>
      <c r="AR11" s="4" t="s">
        <v>332</v>
      </c>
      <c r="AS11" s="4" t="s">
        <v>332</v>
      </c>
      <c r="AT11" s="4" t="s">
        <v>332</v>
      </c>
      <c r="AU11" s="4" t="s">
        <v>333</v>
      </c>
      <c r="AV11" s="4" t="n">
        <v>2047</v>
      </c>
      <c r="AW11" s="4" t="n">
        <v>0</v>
      </c>
      <c r="AX11" s="4" t="n">
        <v>400</v>
      </c>
      <c r="AY11" s="4" t="n">
        <v>0</v>
      </c>
      <c r="BB11" s="4" t="n">
        <v>2047</v>
      </c>
      <c r="BC11" s="4" t="n">
        <v>0</v>
      </c>
      <c r="BD11" s="4" t="n">
        <v>100</v>
      </c>
      <c r="BE11" s="4" t="n">
        <v>0</v>
      </c>
      <c r="BH11" s="4" t="n">
        <v>420</v>
      </c>
      <c r="BI11" s="4" t="n">
        <v>0</v>
      </c>
      <c r="BN11" s="4" t="n">
        <v>0.5</v>
      </c>
      <c r="BO11" s="4" t="n">
        <v>-3</v>
      </c>
      <c r="BP11" s="4" t="n">
        <v>14.6499996185303</v>
      </c>
      <c r="BQ11" s="4" t="n">
        <v>60</v>
      </c>
      <c r="BR11" s="4" t="n">
        <v>13.1999998092651</v>
      </c>
      <c r="BV11" s="4" t="s">
        <v>333</v>
      </c>
      <c r="BW11" s="4" t="s">
        <v>334</v>
      </c>
      <c r="BX11" s="4" t="n">
        <v>60</v>
      </c>
      <c r="BY11" s="4" t="s">
        <v>332</v>
      </c>
      <c r="BZ11" s="4" t="s">
        <v>332</v>
      </c>
      <c r="CA11" s="4" t="s">
        <v>332</v>
      </c>
      <c r="CB11" s="4" t="s">
        <v>333</v>
      </c>
      <c r="CC11" s="4" t="s">
        <v>332</v>
      </c>
      <c r="CD11" s="4" t="s">
        <v>332</v>
      </c>
      <c r="CE11" s="4" t="s">
        <v>332</v>
      </c>
      <c r="CF11" s="4" t="s">
        <v>333</v>
      </c>
      <c r="CK11" s="169" t="n">
        <v>43668.0965162037</v>
      </c>
      <c r="CL11" s="169" t="n">
        <v>43472.6472222222</v>
      </c>
      <c r="CQ11" s="4" t="n">
        <v>1313</v>
      </c>
      <c r="CR11" s="4" t="n">
        <v>1.3</v>
      </c>
      <c r="CS11" s="21" t="n">
        <v>6.9E-006</v>
      </c>
      <c r="CT11" s="4" t="n">
        <v>0.7669</v>
      </c>
      <c r="CU11" s="4" t="s">
        <v>334</v>
      </c>
      <c r="CV11" s="169" t="n">
        <v>45071</v>
      </c>
      <c r="CW11" s="4" t="s">
        <v>328</v>
      </c>
      <c r="CX11" s="4" t="s">
        <v>340</v>
      </c>
      <c r="CY11" s="4" t="n">
        <v>90</v>
      </c>
      <c r="CZ11" s="4" t="n">
        <v>30</v>
      </c>
      <c r="DB11" s="4" t="s">
        <v>363</v>
      </c>
      <c r="DC11" s="4" t="s">
        <v>364</v>
      </c>
      <c r="DD11" s="4" t="s">
        <v>365</v>
      </c>
      <c r="DF11" s="4" t="n">
        <v>0.118</v>
      </c>
      <c r="DG11" s="4" t="n">
        <v>1.354</v>
      </c>
      <c r="DH11" s="4" t="n">
        <v>77.045</v>
      </c>
      <c r="DI11" s="4" t="n">
        <v>11.071</v>
      </c>
      <c r="DJ11" s="4" t="n">
        <v>5.28</v>
      </c>
      <c r="DK11" s="4" t="n">
        <v>0.813</v>
      </c>
      <c r="DL11" s="4" t="n">
        <v>1.736</v>
      </c>
      <c r="DM11" s="4" t="n">
        <v>0.458</v>
      </c>
      <c r="DN11" s="4" t="n">
        <v>0.526</v>
      </c>
      <c r="DO11" s="4" t="n">
        <v>1.599</v>
      </c>
      <c r="EQ11" s="4" t="s">
        <v>335</v>
      </c>
      <c r="FR11" s="4" t="s">
        <v>366</v>
      </c>
    </row>
    <row r="12" customFormat="false" ht="15" hidden="false" customHeight="false" outlineLevel="0" collapsed="false">
      <c r="A12" s="169" t="n">
        <v>45047.4166666667</v>
      </c>
      <c r="B12" s="169" t="n">
        <v>45078.375</v>
      </c>
      <c r="C12" s="4" t="s">
        <v>111</v>
      </c>
      <c r="D12" s="4" t="s">
        <v>119</v>
      </c>
      <c r="E12" s="4" t="n">
        <v>428115.53</v>
      </c>
      <c r="F12" s="4" t="n">
        <v>440602.56</v>
      </c>
      <c r="H12" s="4" t="n">
        <v>2699364829</v>
      </c>
      <c r="I12" s="4" t="n">
        <v>969.165145128041</v>
      </c>
      <c r="J12" s="4" t="n">
        <v>84.2583077291795</v>
      </c>
      <c r="K12" s="4" t="n">
        <v>44580</v>
      </c>
      <c r="L12" s="4" t="n">
        <v>5998.57928333333</v>
      </c>
      <c r="N12" s="4" t="n">
        <v>1.05912654572304</v>
      </c>
      <c r="P12" s="4" t="s">
        <v>367</v>
      </c>
      <c r="Q12" s="4" t="s">
        <v>367</v>
      </c>
      <c r="T12" s="4" t="s">
        <v>326</v>
      </c>
      <c r="U12" s="4" t="s">
        <v>111</v>
      </c>
      <c r="V12" s="170" t="n">
        <v>43469</v>
      </c>
      <c r="W12" s="4" t="n">
        <v>1</v>
      </c>
      <c r="X12" s="4" t="n">
        <v>8</v>
      </c>
      <c r="AG12" s="4" t="s">
        <v>368</v>
      </c>
      <c r="AI12" s="4" t="s">
        <v>331</v>
      </c>
      <c r="AJ12" s="4" t="n">
        <v>450</v>
      </c>
      <c r="AK12" s="4" t="n">
        <v>1</v>
      </c>
      <c r="AL12" s="4" t="n">
        <v>1</v>
      </c>
      <c r="AR12" s="4" t="s">
        <v>333</v>
      </c>
      <c r="AS12" s="4" t="s">
        <v>332</v>
      </c>
      <c r="AT12" s="4" t="s">
        <v>332</v>
      </c>
      <c r="AU12" s="4" t="s">
        <v>333</v>
      </c>
      <c r="BB12" s="4" t="n">
        <v>110</v>
      </c>
      <c r="BC12" s="4" t="n">
        <v>-10</v>
      </c>
      <c r="BD12" s="4" t="n">
        <v>1500</v>
      </c>
      <c r="BE12" s="4" t="n">
        <v>0</v>
      </c>
      <c r="BH12" s="4" t="n">
        <v>110</v>
      </c>
      <c r="BI12" s="4" t="n">
        <v>-10</v>
      </c>
      <c r="BJ12" s="4" t="n">
        <v>150</v>
      </c>
      <c r="BK12" s="4" t="n">
        <v>0</v>
      </c>
      <c r="BO12" s="4" t="n">
        <v>0</v>
      </c>
      <c r="BP12" s="4" t="n">
        <v>14.7299995422363</v>
      </c>
      <c r="BQ12" s="4" t="n">
        <v>60</v>
      </c>
      <c r="BR12" s="4" t="n">
        <v>14.4499998092651</v>
      </c>
      <c r="BV12" s="4" t="n">
        <v>7</v>
      </c>
      <c r="BW12" s="4" t="s">
        <v>334</v>
      </c>
      <c r="BX12" s="4" t="n">
        <v>0</v>
      </c>
      <c r="BY12" s="4" t="s">
        <v>333</v>
      </c>
      <c r="BZ12" s="4" t="s">
        <v>333</v>
      </c>
      <c r="CA12" s="4" t="s">
        <v>333</v>
      </c>
      <c r="CB12" s="4" t="s">
        <v>333</v>
      </c>
      <c r="CC12" s="4" t="s">
        <v>333</v>
      </c>
      <c r="CD12" s="4" t="s">
        <v>333</v>
      </c>
      <c r="CE12" s="4" t="s">
        <v>332</v>
      </c>
      <c r="CF12" s="4" t="s">
        <v>333</v>
      </c>
      <c r="CN12" s="4" t="n">
        <v>500</v>
      </c>
      <c r="CO12" s="4" t="n">
        <v>35</v>
      </c>
      <c r="CQ12" s="4" t="n">
        <v>1029.18262228145</v>
      </c>
      <c r="CT12" s="4" t="n">
        <v>0.575577740557416</v>
      </c>
      <c r="CU12" s="4" t="s">
        <v>334</v>
      </c>
      <c r="CV12" s="169" t="n">
        <v>43435.625</v>
      </c>
      <c r="DF12" s="4" t="n">
        <v>0.0285732509006481</v>
      </c>
      <c r="DG12" s="4" t="n">
        <v>1.02865763118742</v>
      </c>
      <c r="DH12" s="4" t="n">
        <v>95.6932924120128</v>
      </c>
      <c r="DI12" s="4" t="n">
        <v>3.16200507248809</v>
      </c>
      <c r="DJ12" s="4" t="n">
        <v>0.08374272705963</v>
      </c>
      <c r="DK12" s="4" t="n">
        <v>0.00150567037786595</v>
      </c>
      <c r="DL12" s="4" t="n">
        <v>0.00212936679327564</v>
      </c>
      <c r="DM12" s="21" t="n">
        <v>4.73295387984469E-005</v>
      </c>
      <c r="DN12" s="21" t="n">
        <v>4.38986942305306E-005</v>
      </c>
      <c r="DO12" s="21" t="n">
        <v>2.70613906720087E-006</v>
      </c>
      <c r="DQ12" s="4" t="n">
        <v>0</v>
      </c>
      <c r="DR12" s="4" t="n">
        <v>0</v>
      </c>
      <c r="DS12" s="4" t="n">
        <v>0</v>
      </c>
      <c r="DT12" s="4" t="n">
        <v>0</v>
      </c>
      <c r="DU12" s="4" t="n">
        <v>0</v>
      </c>
      <c r="DV12" s="4" t="n">
        <v>0</v>
      </c>
      <c r="DW12" s="4" t="n">
        <v>0</v>
      </c>
      <c r="DX12" s="4" t="n">
        <v>0</v>
      </c>
      <c r="DY12" s="4" t="n">
        <v>0</v>
      </c>
      <c r="DZ12" s="4" t="n">
        <v>0</v>
      </c>
      <c r="EA12" s="4" t="n">
        <v>0</v>
      </c>
      <c r="EQ12" s="4" t="s">
        <v>335</v>
      </c>
    </row>
    <row r="13" customFormat="false" ht="15" hidden="false" customHeight="false" outlineLevel="0" collapsed="false">
      <c r="A13" s="169" t="n">
        <v>45047.4166666667</v>
      </c>
      <c r="B13" s="169" t="n">
        <v>45078.375</v>
      </c>
      <c r="C13" s="4" t="s">
        <v>112</v>
      </c>
      <c r="D13" s="4" t="s">
        <v>120</v>
      </c>
      <c r="E13" s="4" t="n">
        <v>4239406.28</v>
      </c>
      <c r="F13" s="4" t="n">
        <v>4363011.77</v>
      </c>
      <c r="H13" s="4" t="n">
        <v>2967996467</v>
      </c>
      <c r="I13" s="4" t="n">
        <v>968.819125051007</v>
      </c>
      <c r="J13" s="4" t="n">
        <v>83.8708269302842</v>
      </c>
      <c r="K13" s="4" t="n">
        <v>44505.0333333333</v>
      </c>
      <c r="L13" s="4" t="n">
        <v>59359.9736</v>
      </c>
      <c r="N13" s="4" t="n">
        <v>1.05929567867533</v>
      </c>
      <c r="P13" s="4" t="s">
        <v>367</v>
      </c>
      <c r="Q13" s="4" t="s">
        <v>367</v>
      </c>
      <c r="T13" s="4" t="s">
        <v>326</v>
      </c>
      <c r="U13" s="4" t="s">
        <v>112</v>
      </c>
      <c r="V13" s="170" t="n">
        <v>43508</v>
      </c>
      <c r="W13" s="4" t="n">
        <v>1</v>
      </c>
      <c r="X13" s="4" t="n">
        <v>8</v>
      </c>
      <c r="AG13" s="4" t="s">
        <v>368</v>
      </c>
      <c r="AJ13" s="4" t="n">
        <v>50</v>
      </c>
      <c r="AK13" s="4" t="n">
        <v>1</v>
      </c>
      <c r="AR13" s="4" t="s">
        <v>333</v>
      </c>
      <c r="AS13" s="4" t="s">
        <v>332</v>
      </c>
      <c r="AT13" s="4" t="s">
        <v>332</v>
      </c>
      <c r="AU13" s="4" t="s">
        <v>333</v>
      </c>
      <c r="BB13" s="4" t="n">
        <v>110</v>
      </c>
      <c r="BC13" s="4" t="n">
        <v>-10</v>
      </c>
      <c r="BD13" s="4" t="n">
        <v>1500</v>
      </c>
      <c r="BE13" s="4" t="n">
        <v>0</v>
      </c>
      <c r="BH13" s="4" t="n">
        <v>110</v>
      </c>
      <c r="BI13" s="4" t="n">
        <v>-10</v>
      </c>
      <c r="BJ13" s="4" t="n">
        <v>150</v>
      </c>
      <c r="BK13" s="4" t="n">
        <v>0</v>
      </c>
      <c r="BP13" s="4" t="n">
        <v>14.7299995422363</v>
      </c>
      <c r="BQ13" s="4" t="n">
        <v>60</v>
      </c>
      <c r="BR13" s="4" t="n">
        <v>14.4499998092651</v>
      </c>
      <c r="BV13" s="4" t="n">
        <v>7</v>
      </c>
      <c r="BW13" s="4" t="s">
        <v>334</v>
      </c>
      <c r="BY13" s="4" t="s">
        <v>333</v>
      </c>
      <c r="BZ13" s="4" t="s">
        <v>333</v>
      </c>
      <c r="CA13" s="4" t="s">
        <v>333</v>
      </c>
      <c r="CB13" s="4" t="s">
        <v>333</v>
      </c>
      <c r="CC13" s="4" t="s">
        <v>333</v>
      </c>
      <c r="CD13" s="4" t="s">
        <v>333</v>
      </c>
      <c r="CE13" s="4" t="s">
        <v>332</v>
      </c>
      <c r="CF13" s="4" t="s">
        <v>333</v>
      </c>
      <c r="CN13" s="4" t="n">
        <v>500</v>
      </c>
      <c r="CO13" s="4" t="n">
        <v>35</v>
      </c>
      <c r="CQ13" s="4" t="n">
        <v>1029.17325248616</v>
      </c>
      <c r="CT13" s="4" t="n">
        <v>0.575567012097634</v>
      </c>
      <c r="CU13" s="4" t="s">
        <v>334</v>
      </c>
      <c r="DF13" s="4" t="n">
        <v>0.0282736501177807</v>
      </c>
      <c r="DG13" s="4" t="n">
        <v>1.02866362817266</v>
      </c>
      <c r="DH13" s="4" t="n">
        <v>95.6950640053272</v>
      </c>
      <c r="DI13" s="4" t="n">
        <v>3.16065250945488</v>
      </c>
      <c r="DJ13" s="4" t="n">
        <v>0.0836228328705957</v>
      </c>
      <c r="DK13" s="4" t="n">
        <v>0.00150355438898487</v>
      </c>
      <c r="DL13" s="4" t="n">
        <v>0.00212679146879362</v>
      </c>
      <c r="DM13" s="21" t="n">
        <v>4.68905800271209E-005</v>
      </c>
      <c r="DN13" s="21" t="n">
        <v>4.35256016415786E-005</v>
      </c>
      <c r="DO13" s="21" t="n">
        <v>2.67739865099955E-006</v>
      </c>
      <c r="DQ13" s="4" t="n">
        <v>0</v>
      </c>
      <c r="DR13" s="4" t="n">
        <v>0</v>
      </c>
      <c r="DS13" s="4" t="n">
        <v>0</v>
      </c>
      <c r="DT13" s="4" t="n">
        <v>0</v>
      </c>
      <c r="DU13" s="4" t="n">
        <v>0</v>
      </c>
      <c r="DV13" s="4" t="n">
        <v>0</v>
      </c>
      <c r="DW13" s="4" t="n">
        <v>0</v>
      </c>
      <c r="DX13" s="4" t="n">
        <v>0</v>
      </c>
      <c r="DY13" s="4" t="n">
        <v>0</v>
      </c>
      <c r="DZ13" s="4" t="n">
        <v>0</v>
      </c>
      <c r="EA13" s="4" t="n">
        <v>0</v>
      </c>
      <c r="EQ13" s="4" t="s">
        <v>335</v>
      </c>
    </row>
    <row r="14" customFormat="false" ht="15" hidden="false" customHeight="false" outlineLevel="0" collapsed="false">
      <c r="A14" s="169" t="n">
        <v>45047.375</v>
      </c>
      <c r="B14" s="169" t="n">
        <v>45078.375</v>
      </c>
      <c r="C14" s="4" t="s">
        <v>113</v>
      </c>
      <c r="D14" s="4" t="s">
        <v>121</v>
      </c>
      <c r="E14" s="4" t="n">
        <v>1887090.82</v>
      </c>
      <c r="F14" s="4" t="n">
        <v>1945942.1</v>
      </c>
      <c r="H14" s="4" t="n">
        <v>4602454394</v>
      </c>
      <c r="I14" s="4" t="n">
        <v>1137.88998708103</v>
      </c>
      <c r="J14" s="4" t="n">
        <v>93.8072183291017</v>
      </c>
      <c r="K14" s="4" t="n">
        <v>44640</v>
      </c>
      <c r="L14" s="4" t="n">
        <v>23012.2722613696</v>
      </c>
      <c r="N14" s="4" t="n">
        <v>1.06217760074311</v>
      </c>
      <c r="P14" s="4" t="s">
        <v>324</v>
      </c>
      <c r="Q14" s="4" t="s">
        <v>367</v>
      </c>
      <c r="T14" s="4" t="s">
        <v>326</v>
      </c>
      <c r="U14" s="4" t="s">
        <v>113</v>
      </c>
      <c r="V14" s="170" t="n">
        <v>43469</v>
      </c>
      <c r="W14" s="4" t="n">
        <v>1</v>
      </c>
      <c r="X14" s="4" t="n">
        <v>9</v>
      </c>
      <c r="AF14" s="4" t="s">
        <v>328</v>
      </c>
      <c r="AG14" s="4" t="s">
        <v>329</v>
      </c>
      <c r="AH14" s="4" t="s">
        <v>334</v>
      </c>
      <c r="AI14" s="4" t="s">
        <v>331</v>
      </c>
      <c r="AJ14" s="4" t="n">
        <v>200</v>
      </c>
      <c r="AK14" s="4" t="n">
        <v>1</v>
      </c>
      <c r="AL14" s="4" t="n">
        <v>1</v>
      </c>
      <c r="AR14" s="4" t="s">
        <v>333</v>
      </c>
      <c r="AS14" s="4" t="s">
        <v>333</v>
      </c>
      <c r="AT14" s="4" t="s">
        <v>333</v>
      </c>
      <c r="AU14" s="4" t="s">
        <v>333</v>
      </c>
      <c r="BB14" s="4" t="n">
        <v>2047.96875</v>
      </c>
      <c r="BC14" s="4" t="n">
        <v>0</v>
      </c>
      <c r="BD14" s="4" t="n">
        <v>1013.20001220703</v>
      </c>
      <c r="BE14" s="4" t="n">
        <v>13.1999998092651</v>
      </c>
      <c r="BH14" s="4" t="n">
        <v>420</v>
      </c>
      <c r="BI14" s="4" t="n">
        <v>0</v>
      </c>
      <c r="BP14" s="4" t="n">
        <v>14.6499996185303</v>
      </c>
      <c r="BQ14" s="4" t="n">
        <v>60</v>
      </c>
      <c r="BR14" s="4" t="n">
        <v>13.1999998092651</v>
      </c>
      <c r="BV14" s="4" t="n">
        <v>7</v>
      </c>
      <c r="BW14" s="4" t="s">
        <v>334</v>
      </c>
      <c r="BX14" s="4" t="n">
        <v>60</v>
      </c>
      <c r="BY14" s="4" t="s">
        <v>332</v>
      </c>
      <c r="BZ14" s="4" t="s">
        <v>333</v>
      </c>
      <c r="CA14" s="4" t="s">
        <v>332</v>
      </c>
      <c r="CB14" s="4" t="s">
        <v>332</v>
      </c>
      <c r="CC14" s="4" t="s">
        <v>333</v>
      </c>
      <c r="CD14" s="4" t="s">
        <v>332</v>
      </c>
      <c r="CE14" s="4" t="s">
        <v>332</v>
      </c>
      <c r="CF14" s="4" t="s">
        <v>333</v>
      </c>
      <c r="CK14" s="169" t="n">
        <v>45022.4791319444</v>
      </c>
      <c r="CL14" s="169" t="n">
        <v>43929.3637268518</v>
      </c>
      <c r="CQ14" s="4" t="n">
        <v>1031.19773698989</v>
      </c>
      <c r="CR14" s="4" t="n">
        <v>1.29999995231628</v>
      </c>
      <c r="CS14" s="4" t="n">
        <v>0.0102679999545217</v>
      </c>
      <c r="CT14" s="4" t="n">
        <v>0.57666775644029</v>
      </c>
      <c r="CW14" s="4" t="s">
        <v>325</v>
      </c>
      <c r="DF14" s="4" t="n">
        <v>0.0321891147071353</v>
      </c>
      <c r="DG14" s="4" t="n">
        <v>0.986336652598509</v>
      </c>
      <c r="DH14" s="4" t="n">
        <v>93.8495223864989</v>
      </c>
      <c r="DI14" s="4" t="n">
        <v>3.33440905553148</v>
      </c>
      <c r="DJ14" s="4" t="n">
        <v>0.0840881397766082</v>
      </c>
      <c r="DK14" s="4" t="n">
        <v>0.00142474183058214</v>
      </c>
      <c r="DL14" s="4" t="n">
        <v>0.00114016648940022</v>
      </c>
      <c r="DM14" s="21" t="n">
        <v>6.97184789235642E-007</v>
      </c>
      <c r="DN14" s="21" t="n">
        <v>1.20083484727841E-006</v>
      </c>
      <c r="DO14" s="21" t="n">
        <v>0</v>
      </c>
      <c r="DQ14" s="21" t="n">
        <v>0</v>
      </c>
      <c r="DR14" s="4" t="n">
        <v>0</v>
      </c>
      <c r="DS14" s="4" t="n">
        <v>0</v>
      </c>
      <c r="DT14" s="4" t="n">
        <v>0</v>
      </c>
      <c r="DU14" s="4" t="n">
        <v>0</v>
      </c>
      <c r="DV14" s="4" t="n">
        <v>0</v>
      </c>
      <c r="DW14" s="4" t="n">
        <v>0</v>
      </c>
      <c r="DX14" s="4" t="n">
        <v>0</v>
      </c>
      <c r="DY14" s="4" t="n">
        <v>1.71088456125229</v>
      </c>
      <c r="DZ14" s="4" t="n">
        <v>0</v>
      </c>
      <c r="EA14" s="4" t="n">
        <v>0</v>
      </c>
      <c r="EQ14" s="4" t="s">
        <v>335</v>
      </c>
      <c r="FR14" s="4" t="s">
        <v>369</v>
      </c>
    </row>
    <row r="15" customFormat="false" ht="15" hidden="false" customHeight="false" outlineLevel="0" collapsed="false">
      <c r="A15" s="169" t="n">
        <v>45047.375</v>
      </c>
      <c r="B15" s="169" t="n">
        <v>45078.375</v>
      </c>
      <c r="C15" s="4" t="s">
        <v>114</v>
      </c>
      <c r="D15" s="4" t="s">
        <v>122</v>
      </c>
      <c r="E15" s="4" t="n">
        <v>669315.42</v>
      </c>
      <c r="F15" s="4" t="n">
        <v>695762.62</v>
      </c>
      <c r="H15" s="4" t="n">
        <v>920445010</v>
      </c>
      <c r="I15" s="4" t="n">
        <v>1167.9177536833</v>
      </c>
      <c r="J15" s="4" t="n">
        <v>99.3192017667496</v>
      </c>
      <c r="K15" s="4" t="n">
        <v>13474.6166666667</v>
      </c>
      <c r="L15" s="4" t="n">
        <v>8003.86966051574</v>
      </c>
      <c r="N15" s="4" t="n">
        <v>1.06283109600216</v>
      </c>
      <c r="P15" s="4" t="s">
        <v>324</v>
      </c>
      <c r="Q15" s="4" t="s">
        <v>367</v>
      </c>
      <c r="T15" s="4" t="s">
        <v>326</v>
      </c>
      <c r="U15" s="4" t="s">
        <v>114</v>
      </c>
      <c r="V15" s="170" t="n">
        <v>43469</v>
      </c>
      <c r="W15" s="4" t="n">
        <v>1</v>
      </c>
      <c r="X15" s="4" t="n">
        <v>9</v>
      </c>
      <c r="AF15" s="4" t="s">
        <v>328</v>
      </c>
      <c r="AG15" s="4" t="s">
        <v>329</v>
      </c>
      <c r="AH15" s="4" t="s">
        <v>334</v>
      </c>
      <c r="AI15" s="4" t="s">
        <v>331</v>
      </c>
      <c r="AJ15" s="4" t="n">
        <v>115</v>
      </c>
      <c r="AK15" s="4" t="n">
        <v>1</v>
      </c>
      <c r="AL15" s="4" t="n">
        <v>1</v>
      </c>
      <c r="AR15" s="4" t="s">
        <v>333</v>
      </c>
      <c r="AS15" s="4" t="s">
        <v>333</v>
      </c>
      <c r="AT15" s="4" t="s">
        <v>333</v>
      </c>
      <c r="AU15" s="4" t="s">
        <v>333</v>
      </c>
      <c r="BB15" s="4" t="n">
        <v>2047.96875</v>
      </c>
      <c r="BC15" s="4" t="n">
        <v>0</v>
      </c>
      <c r="BD15" s="4" t="n">
        <v>1514.72998046875</v>
      </c>
      <c r="BE15" s="4" t="n">
        <v>14.7299995422363</v>
      </c>
      <c r="BH15" s="4" t="n">
        <v>420</v>
      </c>
      <c r="BI15" s="4" t="n">
        <v>0</v>
      </c>
      <c r="BP15" s="4" t="n">
        <v>14.6499996185303</v>
      </c>
      <c r="BQ15" s="4" t="n">
        <v>60</v>
      </c>
      <c r="BR15" s="4" t="n">
        <v>13.1999998092651</v>
      </c>
      <c r="BV15" s="4" t="n">
        <v>7</v>
      </c>
      <c r="BW15" s="4" t="s">
        <v>334</v>
      </c>
      <c r="BX15" s="4" t="n">
        <v>60</v>
      </c>
      <c r="BY15" s="4" t="s">
        <v>332</v>
      </c>
      <c r="BZ15" s="4" t="s">
        <v>333</v>
      </c>
      <c r="CA15" s="4" t="s">
        <v>332</v>
      </c>
      <c r="CB15" s="4" t="s">
        <v>332</v>
      </c>
      <c r="CC15" s="4" t="s">
        <v>333</v>
      </c>
      <c r="CD15" s="4" t="s">
        <v>332</v>
      </c>
      <c r="CE15" s="4" t="s">
        <v>332</v>
      </c>
      <c r="CF15" s="4" t="s">
        <v>333</v>
      </c>
      <c r="CK15" s="169" t="n">
        <v>45022.4791319444</v>
      </c>
      <c r="CL15" s="169" t="n">
        <v>43929.3637268518</v>
      </c>
      <c r="CQ15" s="4" t="n">
        <v>1039.59124188566</v>
      </c>
      <c r="CR15" s="4" t="n">
        <v>1.29999995231628</v>
      </c>
      <c r="CS15" s="4" t="n">
        <v>0.0102679999545217</v>
      </c>
      <c r="CT15" s="4" t="n">
        <v>0.583063983879097</v>
      </c>
      <c r="CW15" s="4" t="s">
        <v>325</v>
      </c>
      <c r="DF15" s="4" t="n">
        <v>0.099327001414739</v>
      </c>
      <c r="DG15" s="4" t="n">
        <v>0.982501221169082</v>
      </c>
      <c r="DH15" s="4" t="n">
        <v>92.6994576653776</v>
      </c>
      <c r="DI15" s="4" t="n">
        <v>4.37350142624641</v>
      </c>
      <c r="DJ15" s="4" t="n">
        <v>0.141094531736112</v>
      </c>
      <c r="DK15" s="4" t="n">
        <v>0.00243179512674213</v>
      </c>
      <c r="DL15" s="4" t="n">
        <v>0.00211579443425881</v>
      </c>
      <c r="DM15" s="21" t="n">
        <v>5.57557147541569E-006</v>
      </c>
      <c r="DN15" s="21" t="n">
        <v>0</v>
      </c>
      <c r="DO15" s="4" t="n">
        <v>0</v>
      </c>
      <c r="DQ15" s="4" t="n">
        <v>0</v>
      </c>
      <c r="DR15" s="4" t="n">
        <v>0</v>
      </c>
      <c r="DS15" s="4" t="n">
        <v>0</v>
      </c>
      <c r="DT15" s="4" t="n">
        <v>0</v>
      </c>
      <c r="DU15" s="4" t="n">
        <v>0</v>
      </c>
      <c r="DV15" s="4" t="n">
        <v>0</v>
      </c>
      <c r="DW15" s="4" t="n">
        <v>0</v>
      </c>
      <c r="DX15" s="4" t="n">
        <v>0</v>
      </c>
      <c r="DY15" s="4" t="n">
        <v>1.71108166075983</v>
      </c>
      <c r="DZ15" s="4" t="n">
        <v>0</v>
      </c>
      <c r="EA15" s="4" t="n">
        <v>0</v>
      </c>
      <c r="EQ15" s="4" t="s">
        <v>335</v>
      </c>
      <c r="FR15" s="4" t="s">
        <v>369</v>
      </c>
    </row>
    <row r="16" customFormat="false" ht="15" hidden="false" customHeight="false" outlineLevel="0" collapsed="false">
      <c r="A16" s="169" t="n">
        <v>45047.375</v>
      </c>
      <c r="B16" s="169" t="n">
        <v>45078.375</v>
      </c>
      <c r="C16" s="4" t="s">
        <v>47</v>
      </c>
      <c r="D16" s="4" t="s">
        <v>370</v>
      </c>
      <c r="E16" s="4" t="n">
        <v>1151339.8</v>
      </c>
      <c r="F16" s="4" t="n">
        <v>1449805.67</v>
      </c>
      <c r="G16" s="4" t="n">
        <v>52.9807518250585</v>
      </c>
      <c r="I16" s="4" t="n">
        <v>1152.686725567</v>
      </c>
      <c r="J16" s="4" t="n">
        <v>103.958267604457</v>
      </c>
      <c r="K16" s="4" t="n">
        <v>43904.05</v>
      </c>
      <c r="L16" s="4" t="n">
        <v>10.1990285254176</v>
      </c>
      <c r="N16" s="4" t="n">
        <v>1.12071694734838</v>
      </c>
      <c r="P16" s="4" t="s">
        <v>324</v>
      </c>
      <c r="Q16" s="4" t="s">
        <v>325</v>
      </c>
      <c r="T16" s="4" t="s">
        <v>326</v>
      </c>
      <c r="U16" s="4" t="s">
        <v>47</v>
      </c>
      <c r="V16" s="170" t="n">
        <v>44378</v>
      </c>
      <c r="W16" s="4" t="n">
        <v>1</v>
      </c>
      <c r="X16" s="4" t="n">
        <v>9</v>
      </c>
      <c r="AA16" s="4" t="n">
        <v>4.875</v>
      </c>
      <c r="AB16" s="4" t="n">
        <v>68</v>
      </c>
      <c r="AC16" s="4" t="s">
        <v>327</v>
      </c>
      <c r="AD16" s="4" t="n">
        <v>7.63399982452393</v>
      </c>
      <c r="AE16" s="4" t="n">
        <v>68</v>
      </c>
      <c r="AF16" s="4" t="s">
        <v>328</v>
      </c>
      <c r="AG16" s="4" t="s">
        <v>329</v>
      </c>
      <c r="AH16" s="4" t="s">
        <v>330</v>
      </c>
      <c r="AI16" s="4" t="s">
        <v>331</v>
      </c>
      <c r="AR16" s="4" t="s">
        <v>333</v>
      </c>
      <c r="AS16" s="4" t="s">
        <v>333</v>
      </c>
      <c r="AT16" s="4" t="s">
        <v>333</v>
      </c>
      <c r="AU16" s="4" t="s">
        <v>333</v>
      </c>
      <c r="AV16" s="4" t="n">
        <v>2047</v>
      </c>
      <c r="AW16" s="4" t="n">
        <v>0</v>
      </c>
      <c r="AX16" s="4" t="n">
        <v>400</v>
      </c>
      <c r="AY16" s="4" t="n">
        <v>0</v>
      </c>
      <c r="BB16" s="4" t="n">
        <v>2047.96875</v>
      </c>
      <c r="BC16" s="4" t="n">
        <v>0</v>
      </c>
      <c r="BD16" s="4" t="n">
        <v>1513.19995117187</v>
      </c>
      <c r="BE16" s="4" t="n">
        <v>13.1999998092651</v>
      </c>
      <c r="BH16" s="4" t="n">
        <v>420</v>
      </c>
      <c r="BI16" s="4" t="n">
        <v>0</v>
      </c>
      <c r="BN16" s="4" t="n">
        <v>0.5</v>
      </c>
      <c r="BO16" s="4" t="n">
        <v>-3</v>
      </c>
      <c r="BP16" s="4" t="n">
        <v>14.6499996185303</v>
      </c>
      <c r="BQ16" s="4" t="n">
        <v>60</v>
      </c>
      <c r="BR16" s="4" t="n">
        <v>13.1999998092651</v>
      </c>
      <c r="BV16" s="4" t="n">
        <v>1</v>
      </c>
      <c r="BW16" s="4" t="s">
        <v>334</v>
      </c>
      <c r="BX16" s="4" t="n">
        <v>60</v>
      </c>
      <c r="BY16" s="4" t="s">
        <v>332</v>
      </c>
      <c r="BZ16" s="4" t="s">
        <v>332</v>
      </c>
      <c r="CA16" s="4" t="s">
        <v>332</v>
      </c>
      <c r="CB16" s="4" t="s">
        <v>333</v>
      </c>
      <c r="CC16" s="4" t="s">
        <v>332</v>
      </c>
      <c r="CD16" s="4" t="s">
        <v>332</v>
      </c>
      <c r="CE16" s="4" t="s">
        <v>332</v>
      </c>
      <c r="CF16" s="4" t="s">
        <v>333</v>
      </c>
      <c r="CK16" s="169" t="n">
        <v>44984.7375462963</v>
      </c>
      <c r="CL16" s="169" t="n">
        <v>44984.7375462963</v>
      </c>
      <c r="CQ16" s="4" t="n">
        <v>1259.22412833072</v>
      </c>
      <c r="CR16" s="4" t="n">
        <v>1.29999995231628</v>
      </c>
      <c r="CS16" s="4" t="n">
        <v>0.0102679999545217</v>
      </c>
      <c r="CT16" s="4" t="n">
        <v>0.740953425378528</v>
      </c>
      <c r="CV16" s="169" t="n">
        <v>45078</v>
      </c>
      <c r="CW16" s="4" t="s">
        <v>325</v>
      </c>
      <c r="DF16" s="4" t="n">
        <v>0.815046438899443</v>
      </c>
      <c r="DG16" s="4" t="n">
        <v>1.09182948492832</v>
      </c>
      <c r="DH16" s="4" t="n">
        <v>79.1761940127324</v>
      </c>
      <c r="DI16" s="4" t="n">
        <v>9.43309602648388</v>
      </c>
      <c r="DJ16" s="4" t="n">
        <v>5.05057468460211</v>
      </c>
      <c r="DK16" s="4" t="n">
        <v>0.949274743767535</v>
      </c>
      <c r="DL16" s="4" t="n">
        <v>1.7945837994806</v>
      </c>
      <c r="DM16" s="4" t="n">
        <v>0.597222247268506</v>
      </c>
      <c r="DN16" s="4" t="n">
        <v>0.454581941798881</v>
      </c>
      <c r="DO16" s="4" t="n">
        <v>0.306594969149772</v>
      </c>
      <c r="DQ16" s="4" t="n">
        <v>0.20922040116353</v>
      </c>
      <c r="DR16" s="4" t="n">
        <v>0.121792347127488</v>
      </c>
      <c r="EQ16" s="4" t="s">
        <v>335</v>
      </c>
      <c r="FR16" s="4" t="s">
        <v>371</v>
      </c>
    </row>
    <row r="17" customFormat="false" ht="15" hidden="false" customHeight="false" outlineLevel="0" collapsed="false">
      <c r="A17" s="169" t="n">
        <v>45047.375</v>
      </c>
      <c r="B17" s="169" t="n">
        <v>45078.375</v>
      </c>
      <c r="C17" s="4" t="s">
        <v>48</v>
      </c>
      <c r="D17" s="4" t="s">
        <v>372</v>
      </c>
      <c r="E17" s="4" t="n">
        <v>131184.94</v>
      </c>
      <c r="F17" s="4" t="n">
        <v>165191.8</v>
      </c>
      <c r="G17" s="4" t="n">
        <v>31.1423919111347</v>
      </c>
      <c r="I17" s="4" t="n">
        <v>1152.59191602113</v>
      </c>
      <c r="J17" s="4" t="n">
        <v>103.970331203093</v>
      </c>
      <c r="K17" s="4" t="n">
        <v>43871.8833333333</v>
      </c>
      <c r="L17" s="4" t="n">
        <v>7.80256270568054</v>
      </c>
      <c r="N17" s="4" t="n">
        <v>1.12069915789979</v>
      </c>
      <c r="P17" s="4" t="s">
        <v>324</v>
      </c>
      <c r="Q17" s="4" t="s">
        <v>325</v>
      </c>
      <c r="T17" s="4" t="s">
        <v>326</v>
      </c>
      <c r="U17" s="4" t="s">
        <v>48</v>
      </c>
      <c r="V17" s="170" t="n">
        <v>44378</v>
      </c>
      <c r="W17" s="4" t="n">
        <v>1</v>
      </c>
      <c r="X17" s="4" t="n">
        <v>9</v>
      </c>
      <c r="AA17" s="4" t="n">
        <v>1.875</v>
      </c>
      <c r="AB17" s="4" t="n">
        <v>68</v>
      </c>
      <c r="AC17" s="4" t="s">
        <v>327</v>
      </c>
      <c r="AD17" s="4" t="n">
        <v>2.90000009536743</v>
      </c>
      <c r="AE17" s="4" t="n">
        <v>68</v>
      </c>
      <c r="AF17" s="4" t="s">
        <v>328</v>
      </c>
      <c r="AG17" s="4" t="s">
        <v>329</v>
      </c>
      <c r="AH17" s="4" t="s">
        <v>330</v>
      </c>
      <c r="AI17" s="4" t="s">
        <v>331</v>
      </c>
      <c r="AR17" s="4" t="s">
        <v>333</v>
      </c>
      <c r="AS17" s="4" t="s">
        <v>333</v>
      </c>
      <c r="AT17" s="4" t="s">
        <v>333</v>
      </c>
      <c r="AU17" s="4" t="s">
        <v>333</v>
      </c>
      <c r="AV17" s="4" t="n">
        <v>2047</v>
      </c>
      <c r="AW17" s="4" t="n">
        <v>0</v>
      </c>
      <c r="AX17" s="4" t="n">
        <v>400</v>
      </c>
      <c r="AY17" s="4" t="n">
        <v>0</v>
      </c>
      <c r="BB17" s="4" t="n">
        <v>2047.96875</v>
      </c>
      <c r="BC17" s="4" t="n">
        <v>0</v>
      </c>
      <c r="BD17" s="4" t="n">
        <v>1013.20001220703</v>
      </c>
      <c r="BE17" s="4" t="n">
        <v>13.1999998092651</v>
      </c>
      <c r="BH17" s="4" t="n">
        <v>420</v>
      </c>
      <c r="BI17" s="4" t="n">
        <v>0</v>
      </c>
      <c r="BN17" s="4" t="n">
        <v>0.5</v>
      </c>
      <c r="BO17" s="4" t="n">
        <v>-3</v>
      </c>
      <c r="BP17" s="4" t="n">
        <v>14.6499996185303</v>
      </c>
      <c r="BQ17" s="4" t="n">
        <v>60</v>
      </c>
      <c r="BR17" s="4" t="n">
        <v>13.1999998092651</v>
      </c>
      <c r="BV17" s="4" t="n">
        <v>1</v>
      </c>
      <c r="BW17" s="4" t="s">
        <v>334</v>
      </c>
      <c r="BX17" s="4" t="n">
        <v>95</v>
      </c>
      <c r="BY17" s="4" t="s">
        <v>332</v>
      </c>
      <c r="BZ17" s="4" t="s">
        <v>332</v>
      </c>
      <c r="CA17" s="4" t="s">
        <v>332</v>
      </c>
      <c r="CB17" s="4" t="s">
        <v>333</v>
      </c>
      <c r="CC17" s="4" t="s">
        <v>332</v>
      </c>
      <c r="CD17" s="4" t="s">
        <v>332</v>
      </c>
      <c r="CE17" s="4" t="s">
        <v>332</v>
      </c>
      <c r="CF17" s="4" t="s">
        <v>333</v>
      </c>
      <c r="CK17" s="169" t="n">
        <v>44984.7375462963</v>
      </c>
      <c r="CL17" s="169" t="n">
        <v>44984.7375462963</v>
      </c>
      <c r="CQ17" s="4" t="n">
        <v>1259.21846293854</v>
      </c>
      <c r="CR17" s="4" t="n">
        <v>1.29999995231628</v>
      </c>
      <c r="CS17" s="4" t="n">
        <v>0.0102679999545217</v>
      </c>
      <c r="CT17" s="4" t="n">
        <v>0.740952658869355</v>
      </c>
      <c r="CV17" s="169" t="n">
        <v>45078</v>
      </c>
      <c r="CW17" s="4" t="s">
        <v>325</v>
      </c>
      <c r="DF17" s="4" t="n">
        <v>0.815284680039878</v>
      </c>
      <c r="DG17" s="4" t="n">
        <v>1.0917341115764</v>
      </c>
      <c r="DH17" s="4" t="n">
        <v>79.1767516200042</v>
      </c>
      <c r="DI17" s="4" t="n">
        <v>9.43254437363945</v>
      </c>
      <c r="DJ17" s="4" t="n">
        <v>5.05028694260133</v>
      </c>
      <c r="DK17" s="4" t="n">
        <v>0.949303908427994</v>
      </c>
      <c r="DL17" s="4" t="n">
        <v>1.79456191047132</v>
      </c>
      <c r="DM17" s="4" t="n">
        <v>0.597265415316484</v>
      </c>
      <c r="DN17" s="4" t="n">
        <v>0.454600379547278</v>
      </c>
      <c r="DO17" s="4" t="n">
        <v>0.30663957945193</v>
      </c>
      <c r="DQ17" s="4" t="n">
        <v>0.209198801601134</v>
      </c>
      <c r="DR17" s="4" t="n">
        <v>0.121839386512887</v>
      </c>
      <c r="EQ17" s="4" t="s">
        <v>335</v>
      </c>
      <c r="FR17" s="4" t="s">
        <v>371</v>
      </c>
    </row>
    <row r="18" customFormat="false" ht="15" hidden="false" customHeight="false" outlineLevel="0" collapsed="false">
      <c r="A18" s="169" t="n">
        <v>45047.375</v>
      </c>
      <c r="B18" s="169" t="n">
        <v>45078.375</v>
      </c>
      <c r="C18" s="4" t="s">
        <v>49</v>
      </c>
      <c r="D18" s="4" t="s">
        <v>373</v>
      </c>
      <c r="E18" s="4" t="n">
        <v>346861.43</v>
      </c>
      <c r="F18" s="4" t="n">
        <v>433604.99</v>
      </c>
      <c r="G18" s="4" t="n">
        <v>244.01990697103</v>
      </c>
      <c r="I18" s="4" t="n">
        <v>977.042301992486</v>
      </c>
      <c r="J18" s="4" t="n">
        <v>95.8978307126668</v>
      </c>
      <c r="K18" s="4" t="n">
        <v>44092.2833333333</v>
      </c>
      <c r="L18" s="4" t="n">
        <v>20.2119511120811</v>
      </c>
      <c r="N18" s="4" t="n">
        <v>1.10292967266334</v>
      </c>
      <c r="P18" s="4" t="s">
        <v>324</v>
      </c>
      <c r="Q18" s="4" t="s">
        <v>325</v>
      </c>
      <c r="T18" s="4" t="s">
        <v>326</v>
      </c>
      <c r="U18" s="4" t="s">
        <v>49</v>
      </c>
      <c r="V18" s="170" t="n">
        <v>43502</v>
      </c>
      <c r="W18" s="4" t="n">
        <v>1</v>
      </c>
      <c r="X18" s="4" t="n">
        <v>9</v>
      </c>
      <c r="AA18" s="4" t="n">
        <v>2</v>
      </c>
      <c r="AB18" s="4" t="n">
        <v>68</v>
      </c>
      <c r="AC18" s="4" t="s">
        <v>327</v>
      </c>
      <c r="AD18" s="4" t="n">
        <v>7.625</v>
      </c>
      <c r="AE18" s="4" t="n">
        <v>68</v>
      </c>
      <c r="AF18" s="4" t="s">
        <v>328</v>
      </c>
      <c r="AG18" s="4" t="s">
        <v>329</v>
      </c>
      <c r="AH18" s="4" t="s">
        <v>330</v>
      </c>
      <c r="AI18" s="4" t="s">
        <v>331</v>
      </c>
      <c r="AR18" s="4" t="s">
        <v>333</v>
      </c>
      <c r="AS18" s="4" t="s">
        <v>333</v>
      </c>
      <c r="AT18" s="4" t="s">
        <v>333</v>
      </c>
      <c r="AU18" s="4" t="s">
        <v>333</v>
      </c>
      <c r="AV18" s="4" t="n">
        <v>2047</v>
      </c>
      <c r="AW18" s="4" t="n">
        <v>0</v>
      </c>
      <c r="AX18" s="4" t="n">
        <v>400</v>
      </c>
      <c r="AY18" s="4" t="n">
        <v>0</v>
      </c>
      <c r="BB18" s="4" t="n">
        <v>2047.96875</v>
      </c>
      <c r="BC18" s="4" t="n">
        <v>0</v>
      </c>
      <c r="BD18" s="4" t="n">
        <v>1513.19995117187</v>
      </c>
      <c r="BE18" s="4" t="n">
        <v>13.1999998092651</v>
      </c>
      <c r="BH18" s="4" t="n">
        <v>420</v>
      </c>
      <c r="BI18" s="4" t="n">
        <v>0</v>
      </c>
      <c r="BJ18" s="4" t="n">
        <v>140</v>
      </c>
      <c r="BK18" s="4" t="n">
        <v>32</v>
      </c>
      <c r="BN18" s="4" t="n">
        <v>0.5</v>
      </c>
      <c r="BO18" s="4" t="n">
        <v>-3</v>
      </c>
      <c r="BP18" s="4" t="n">
        <v>14.6499996185303</v>
      </c>
      <c r="BQ18" s="4" t="n">
        <v>60</v>
      </c>
      <c r="BR18" s="4" t="n">
        <v>13.1999998092651</v>
      </c>
      <c r="BV18" s="4" t="n">
        <v>1</v>
      </c>
      <c r="BW18" s="4" t="s">
        <v>334</v>
      </c>
      <c r="BY18" s="4" t="s">
        <v>332</v>
      </c>
      <c r="BZ18" s="4" t="s">
        <v>332</v>
      </c>
      <c r="CA18" s="4" t="s">
        <v>332</v>
      </c>
      <c r="CB18" s="4" t="s">
        <v>333</v>
      </c>
      <c r="CC18" s="4" t="s">
        <v>332</v>
      </c>
      <c r="CD18" s="4" t="s">
        <v>332</v>
      </c>
      <c r="CE18" s="4" t="s">
        <v>332</v>
      </c>
      <c r="CF18" s="4" t="s">
        <v>333</v>
      </c>
      <c r="CN18" s="4" t="n">
        <v>500</v>
      </c>
      <c r="CO18" s="4" t="n">
        <v>35</v>
      </c>
      <c r="CQ18" s="4" t="n">
        <v>1250.14469386925</v>
      </c>
      <c r="CR18" s="4" t="n">
        <v>1.29999995231628</v>
      </c>
      <c r="CS18" s="4" t="n">
        <v>0.0102679999545217</v>
      </c>
      <c r="CT18" s="4" t="n">
        <v>0.716838287076132</v>
      </c>
      <c r="CU18" s="4" t="s">
        <v>334</v>
      </c>
      <c r="CV18" s="169" t="n">
        <v>44900.4583333333</v>
      </c>
      <c r="CW18" s="4" t="s">
        <v>325</v>
      </c>
      <c r="DF18" s="4" t="n">
        <v>0.0159192614542988</v>
      </c>
      <c r="DG18" s="4" t="n">
        <v>0.605452788952156</v>
      </c>
      <c r="DH18" s="4" t="n">
        <v>80.7794008690854</v>
      </c>
      <c r="DI18" s="4" t="n">
        <v>10.5911154496617</v>
      </c>
      <c r="DJ18" s="4" t="n">
        <v>4.41724218760527</v>
      </c>
      <c r="DK18" s="4" t="n">
        <v>0.69687775287813</v>
      </c>
      <c r="DL18" s="4" t="n">
        <v>1.47066420865023</v>
      </c>
      <c r="DM18" s="4" t="n">
        <v>0.371587871304939</v>
      </c>
      <c r="DN18" s="4" t="n">
        <v>0.43461843104407</v>
      </c>
      <c r="DO18" s="4" t="n">
        <v>0.296032200521676</v>
      </c>
      <c r="DQ18" s="4" t="n">
        <v>0.205403579600092</v>
      </c>
      <c r="DR18" s="4" t="n">
        <v>0.115685885381498</v>
      </c>
      <c r="DS18" s="4" t="n">
        <v>0</v>
      </c>
      <c r="DT18" s="4" t="n">
        <v>0</v>
      </c>
      <c r="DU18" s="4" t="n">
        <v>0</v>
      </c>
      <c r="DV18" s="4" t="n">
        <v>0</v>
      </c>
      <c r="DW18" s="4" t="n">
        <v>0</v>
      </c>
      <c r="DX18" s="4" t="n">
        <v>0</v>
      </c>
      <c r="DY18" s="4" t="n">
        <v>0</v>
      </c>
      <c r="DZ18" s="4" t="n">
        <v>0</v>
      </c>
      <c r="EA18" s="4" t="n">
        <v>0</v>
      </c>
      <c r="EQ18" s="4" t="s">
        <v>335</v>
      </c>
      <c r="FR18" s="4" t="s">
        <v>374</v>
      </c>
    </row>
    <row r="19" customFormat="false" ht="15" hidden="false" customHeight="false" outlineLevel="0" collapsed="false">
      <c r="A19" s="169" t="n">
        <v>45047.375</v>
      </c>
      <c r="B19" s="169" t="n">
        <v>45078.375</v>
      </c>
      <c r="C19" s="4" t="s">
        <v>50</v>
      </c>
      <c r="D19" s="4" t="s">
        <v>375</v>
      </c>
      <c r="E19" s="4" t="n">
        <v>0</v>
      </c>
      <c r="F19" s="4" t="n">
        <v>0</v>
      </c>
      <c r="G19" s="4" t="n">
        <v>0</v>
      </c>
      <c r="I19" s="4" t="n">
        <v>13.9586288300894</v>
      </c>
      <c r="J19" s="4" t="n">
        <v>77.4445861539533</v>
      </c>
      <c r="K19" s="4" t="n">
        <v>0</v>
      </c>
      <c r="L19" s="4" t="n">
        <v>0</v>
      </c>
      <c r="P19" s="4" t="s">
        <v>324</v>
      </c>
      <c r="Q19" s="4" t="s">
        <v>325</v>
      </c>
      <c r="T19" s="4" t="s">
        <v>326</v>
      </c>
      <c r="U19" s="4" t="s">
        <v>50</v>
      </c>
      <c r="V19" s="170" t="n">
        <v>43502</v>
      </c>
      <c r="W19" s="4" t="n">
        <v>1</v>
      </c>
      <c r="X19" s="4" t="n">
        <v>9</v>
      </c>
      <c r="AA19" s="4" t="n">
        <v>2</v>
      </c>
      <c r="AB19" s="4" t="n">
        <v>68</v>
      </c>
      <c r="AC19" s="4" t="s">
        <v>327</v>
      </c>
      <c r="AD19" s="4" t="n">
        <v>3.82599997520447</v>
      </c>
      <c r="AE19" s="4" t="n">
        <v>68</v>
      </c>
      <c r="AF19" s="4" t="s">
        <v>328</v>
      </c>
      <c r="AG19" s="4" t="s">
        <v>329</v>
      </c>
      <c r="AH19" s="4" t="s">
        <v>330</v>
      </c>
      <c r="AI19" s="4" t="s">
        <v>331</v>
      </c>
      <c r="AR19" s="4" t="s">
        <v>333</v>
      </c>
      <c r="AS19" s="4" t="s">
        <v>333</v>
      </c>
      <c r="AT19" s="4" t="s">
        <v>333</v>
      </c>
      <c r="AU19" s="4" t="s">
        <v>333</v>
      </c>
      <c r="AV19" s="4" t="n">
        <v>2047</v>
      </c>
      <c r="AW19" s="4" t="n">
        <v>0</v>
      </c>
      <c r="AX19" s="4" t="n">
        <v>400</v>
      </c>
      <c r="AY19" s="4" t="n">
        <v>0</v>
      </c>
      <c r="BB19" s="4" t="n">
        <v>2047.96875</v>
      </c>
      <c r="BC19" s="4" t="n">
        <v>0</v>
      </c>
      <c r="BD19" s="4" t="n">
        <v>100</v>
      </c>
      <c r="BE19" s="4" t="n">
        <v>0</v>
      </c>
      <c r="BH19" s="4" t="n">
        <v>420</v>
      </c>
      <c r="BI19" s="4" t="n">
        <v>0</v>
      </c>
      <c r="BJ19" s="4" t="n">
        <v>140</v>
      </c>
      <c r="BK19" s="4" t="n">
        <v>32</v>
      </c>
      <c r="BN19" s="4" t="n">
        <v>0.5</v>
      </c>
      <c r="BO19" s="4" t="n">
        <v>-3</v>
      </c>
      <c r="BP19" s="4" t="n">
        <v>14.6499996185303</v>
      </c>
      <c r="BQ19" s="4" t="n">
        <v>60</v>
      </c>
      <c r="BR19" s="4" t="n">
        <v>13.1999998092651</v>
      </c>
      <c r="BV19" s="4" t="n">
        <v>1</v>
      </c>
      <c r="BW19" s="4" t="s">
        <v>334</v>
      </c>
      <c r="BY19" s="4" t="s">
        <v>332</v>
      </c>
      <c r="BZ19" s="4" t="s">
        <v>332</v>
      </c>
      <c r="CA19" s="4" t="s">
        <v>332</v>
      </c>
      <c r="CB19" s="4" t="s">
        <v>333</v>
      </c>
      <c r="CC19" s="4" t="s">
        <v>332</v>
      </c>
      <c r="CD19" s="4" t="s">
        <v>332</v>
      </c>
      <c r="CE19" s="4" t="s">
        <v>332</v>
      </c>
      <c r="CF19" s="4" t="s">
        <v>333</v>
      </c>
      <c r="CN19" s="4" t="n">
        <v>500</v>
      </c>
      <c r="CO19" s="4" t="n">
        <v>35</v>
      </c>
      <c r="CQ19" s="4" t="n">
        <v>1249.71872046686</v>
      </c>
      <c r="CR19" s="4" t="n">
        <v>1.29999995231628</v>
      </c>
      <c r="CS19" s="4" t="n">
        <v>0.0102679999545217</v>
      </c>
      <c r="CT19" s="4" t="n">
        <v>0.716565223150356</v>
      </c>
      <c r="CU19" s="4" t="s">
        <v>334</v>
      </c>
      <c r="CV19" s="169" t="n">
        <v>43523.6250115741</v>
      </c>
      <c r="CW19" s="4" t="s">
        <v>325</v>
      </c>
      <c r="DF19" s="4" t="n">
        <v>0.0158747460440262</v>
      </c>
      <c r="DG19" s="4" t="n">
        <v>0.605738110039183</v>
      </c>
      <c r="DH19" s="4" t="n">
        <v>80.7971468176893</v>
      </c>
      <c r="DI19" s="4" t="n">
        <v>10.5877152912078</v>
      </c>
      <c r="DJ19" s="4" t="n">
        <v>4.41222034282582</v>
      </c>
      <c r="DK19" s="4" t="n">
        <v>0.695783665263525</v>
      </c>
      <c r="DL19" s="4" t="n">
        <v>1.46754235926495</v>
      </c>
      <c r="DM19" s="4" t="n">
        <v>0.370649128271047</v>
      </c>
      <c r="DN19" s="4" t="n">
        <v>0.433409774535766</v>
      </c>
      <c r="DO19" s="4" t="n">
        <v>0.294904210194144</v>
      </c>
      <c r="DQ19" s="4" t="n">
        <v>0.202672145629842</v>
      </c>
      <c r="DR19" s="4" t="n">
        <v>0.116342953195976</v>
      </c>
      <c r="DS19" s="4" t="n">
        <v>0</v>
      </c>
      <c r="DT19" s="4" t="n">
        <v>0</v>
      </c>
      <c r="DU19" s="4" t="n">
        <v>0</v>
      </c>
      <c r="DV19" s="4" t="n">
        <v>0</v>
      </c>
      <c r="DW19" s="4" t="n">
        <v>0</v>
      </c>
      <c r="DX19" s="4" t="n">
        <v>0</v>
      </c>
      <c r="DY19" s="4" t="n">
        <v>0</v>
      </c>
      <c r="DZ19" s="4" t="n">
        <v>0</v>
      </c>
      <c r="EA19" s="4" t="n">
        <v>0</v>
      </c>
      <c r="EQ19" s="4" t="s">
        <v>335</v>
      </c>
      <c r="FR19" s="4" t="s">
        <v>374</v>
      </c>
    </row>
    <row r="20" customFormat="false" ht="15" hidden="false" customHeight="false" outlineLevel="0" collapsed="false">
      <c r="A20" s="169" t="n">
        <v>45047.375</v>
      </c>
      <c r="B20" s="169" t="n">
        <v>45078.375</v>
      </c>
      <c r="C20" s="4" t="s">
        <v>51</v>
      </c>
      <c r="D20" s="4" t="s">
        <v>376</v>
      </c>
      <c r="E20" s="4" t="n">
        <v>294377.62</v>
      </c>
      <c r="F20" s="4" t="n">
        <v>369069.05</v>
      </c>
      <c r="G20" s="4" t="n">
        <v>36.869253503959</v>
      </c>
      <c r="I20" s="4" t="n">
        <v>978.056360050745</v>
      </c>
      <c r="J20" s="4" t="n">
        <v>98.7163792291282</v>
      </c>
      <c r="K20" s="4" t="n">
        <v>42220.6833333333</v>
      </c>
      <c r="L20" s="4" t="n">
        <v>7.5972136354662</v>
      </c>
      <c r="N20" s="4" t="n">
        <v>1.10146402488416</v>
      </c>
      <c r="P20" s="4" t="s">
        <v>324</v>
      </c>
      <c r="Q20" s="4" t="s">
        <v>325</v>
      </c>
      <c r="T20" s="4" t="s">
        <v>326</v>
      </c>
      <c r="U20" s="4" t="s">
        <v>51</v>
      </c>
      <c r="V20" s="170" t="n">
        <v>43516</v>
      </c>
      <c r="W20" s="4" t="n">
        <v>1</v>
      </c>
      <c r="X20" s="4" t="n">
        <v>9</v>
      </c>
      <c r="AA20" s="4" t="n">
        <v>3</v>
      </c>
      <c r="AB20" s="4" t="n">
        <v>68</v>
      </c>
      <c r="AC20" s="4" t="s">
        <v>327</v>
      </c>
      <c r="AD20" s="4" t="n">
        <v>7.625</v>
      </c>
      <c r="AE20" s="4" t="n">
        <v>68</v>
      </c>
      <c r="AF20" s="4" t="s">
        <v>328</v>
      </c>
      <c r="AG20" s="4" t="s">
        <v>329</v>
      </c>
      <c r="AH20" s="4" t="s">
        <v>330</v>
      </c>
      <c r="AI20" s="4" t="s">
        <v>331</v>
      </c>
      <c r="AR20" s="4" t="s">
        <v>333</v>
      </c>
      <c r="AS20" s="4" t="s">
        <v>333</v>
      </c>
      <c r="AT20" s="4" t="s">
        <v>333</v>
      </c>
      <c r="AU20" s="4" t="s">
        <v>333</v>
      </c>
      <c r="AV20" s="4" t="n">
        <v>2047</v>
      </c>
      <c r="AW20" s="4" t="n">
        <v>0</v>
      </c>
      <c r="AX20" s="4" t="n">
        <v>400</v>
      </c>
      <c r="AY20" s="4" t="n">
        <v>0</v>
      </c>
      <c r="BB20" s="4" t="n">
        <v>2047.96875</v>
      </c>
      <c r="BC20" s="4" t="n">
        <v>0</v>
      </c>
      <c r="BD20" s="4" t="n">
        <v>1014.72998046875</v>
      </c>
      <c r="BE20" s="4" t="n">
        <v>14.7299995422363</v>
      </c>
      <c r="BH20" s="4" t="n">
        <v>420</v>
      </c>
      <c r="BI20" s="4" t="n">
        <v>0</v>
      </c>
      <c r="BJ20" s="4" t="n">
        <v>140</v>
      </c>
      <c r="BK20" s="4" t="n">
        <v>32</v>
      </c>
      <c r="BN20" s="4" t="n">
        <v>0.5</v>
      </c>
      <c r="BO20" s="4" t="n">
        <v>-3</v>
      </c>
      <c r="BP20" s="4" t="n">
        <v>14.6499996185303</v>
      </c>
      <c r="BQ20" s="4" t="n">
        <v>60</v>
      </c>
      <c r="BR20" s="4" t="n">
        <v>13.1999998092651</v>
      </c>
      <c r="BV20" s="4" t="n">
        <v>1</v>
      </c>
      <c r="BW20" s="4" t="s">
        <v>334</v>
      </c>
      <c r="BY20" s="4" t="s">
        <v>332</v>
      </c>
      <c r="BZ20" s="4" t="s">
        <v>332</v>
      </c>
      <c r="CA20" s="4" t="s">
        <v>332</v>
      </c>
      <c r="CB20" s="4" t="s">
        <v>333</v>
      </c>
      <c r="CC20" s="4" t="s">
        <v>332</v>
      </c>
      <c r="CD20" s="4" t="s">
        <v>332</v>
      </c>
      <c r="CE20" s="4" t="s">
        <v>332</v>
      </c>
      <c r="CF20" s="4" t="s">
        <v>333</v>
      </c>
      <c r="CN20" s="4" t="n">
        <v>500</v>
      </c>
      <c r="CO20" s="4" t="n">
        <v>35</v>
      </c>
      <c r="CQ20" s="4" t="n">
        <v>1253.73038172534</v>
      </c>
      <c r="CR20" s="4" t="n">
        <v>1.29999995231628</v>
      </c>
      <c r="CS20" s="4" t="n">
        <v>0.0102679999545217</v>
      </c>
      <c r="CT20" s="4" t="n">
        <v>0.718890188507292</v>
      </c>
      <c r="CU20" s="4" t="s">
        <v>334</v>
      </c>
      <c r="CV20" s="169" t="n">
        <v>45078</v>
      </c>
      <c r="CW20" s="4" t="s">
        <v>325</v>
      </c>
      <c r="DF20" s="4" t="n">
        <v>0.00978614999412378</v>
      </c>
      <c r="DG20" s="4" t="n">
        <v>0.589076111622202</v>
      </c>
      <c r="DH20" s="4" t="n">
        <v>80.6150901073344</v>
      </c>
      <c r="DI20" s="4" t="n">
        <v>10.6346550546324</v>
      </c>
      <c r="DJ20" s="4" t="n">
        <v>4.4701231263416</v>
      </c>
      <c r="DK20" s="4" t="n">
        <v>0.715498525388372</v>
      </c>
      <c r="DL20" s="4" t="n">
        <v>1.5140556198984</v>
      </c>
      <c r="DM20" s="4" t="n">
        <v>0.383944926826199</v>
      </c>
      <c r="DN20" s="4" t="n">
        <v>0.451328174136267</v>
      </c>
      <c r="DO20" s="4" t="n">
        <v>0.296345692837237</v>
      </c>
      <c r="DQ20" s="4" t="n">
        <v>0.202569138664084</v>
      </c>
      <c r="DR20" s="4" t="n">
        <v>0.117527767627333</v>
      </c>
      <c r="EQ20" s="4" t="s">
        <v>335</v>
      </c>
      <c r="FR20" s="4" t="s">
        <v>374</v>
      </c>
    </row>
    <row r="21" customFormat="false" ht="15.75" hidden="false" customHeight="true" outlineLevel="0" collapsed="false">
      <c r="A21" s="169" t="n">
        <v>45047.375</v>
      </c>
      <c r="B21" s="169" t="n">
        <v>45078.375</v>
      </c>
      <c r="C21" s="4" t="s">
        <v>52</v>
      </c>
      <c r="D21" s="4" t="s">
        <v>377</v>
      </c>
      <c r="E21" s="4" t="n">
        <v>0</v>
      </c>
      <c r="F21" s="4" t="n">
        <v>0</v>
      </c>
      <c r="G21" s="4" t="n">
        <v>0</v>
      </c>
      <c r="I21" s="4" t="n">
        <v>184.203363110942</v>
      </c>
      <c r="J21" s="4" t="n">
        <v>77.8166707818226</v>
      </c>
      <c r="K21" s="4" t="n">
        <v>0</v>
      </c>
      <c r="L21" s="4" t="n">
        <v>0</v>
      </c>
      <c r="P21" s="4" t="s">
        <v>324</v>
      </c>
      <c r="Q21" s="4" t="s">
        <v>325</v>
      </c>
      <c r="T21" s="4" t="s">
        <v>326</v>
      </c>
      <c r="U21" s="4" t="s">
        <v>52</v>
      </c>
      <c r="V21" s="170" t="n">
        <v>43502</v>
      </c>
      <c r="W21" s="4" t="n">
        <v>1</v>
      </c>
      <c r="X21" s="4" t="n">
        <v>9</v>
      </c>
      <c r="AA21" s="4" t="n">
        <v>2.125</v>
      </c>
      <c r="AB21" s="4" t="n">
        <v>68</v>
      </c>
      <c r="AC21" s="4" t="s">
        <v>327</v>
      </c>
      <c r="AD21" s="4" t="n">
        <v>3.82599997520447</v>
      </c>
      <c r="AE21" s="4" t="n">
        <v>68</v>
      </c>
      <c r="AF21" s="4" t="s">
        <v>328</v>
      </c>
      <c r="AG21" s="4" t="s">
        <v>329</v>
      </c>
      <c r="AH21" s="4" t="s">
        <v>330</v>
      </c>
      <c r="AI21" s="4" t="s">
        <v>331</v>
      </c>
      <c r="AR21" s="4" t="s">
        <v>332</v>
      </c>
      <c r="AS21" s="4" t="s">
        <v>332</v>
      </c>
      <c r="AT21" s="4" t="s">
        <v>332</v>
      </c>
      <c r="AU21" s="4" t="s">
        <v>333</v>
      </c>
      <c r="AV21" s="4" t="n">
        <v>2047</v>
      </c>
      <c r="AW21" s="4" t="n">
        <v>0</v>
      </c>
      <c r="AX21" s="4" t="n">
        <v>400</v>
      </c>
      <c r="AY21" s="4" t="n">
        <v>0</v>
      </c>
      <c r="BB21" s="4" t="n">
        <v>2047.96875</v>
      </c>
      <c r="BC21" s="4" t="n">
        <v>0</v>
      </c>
      <c r="BD21" s="4" t="n">
        <v>1014.72998046875</v>
      </c>
      <c r="BE21" s="4" t="n">
        <v>14.7299995422363</v>
      </c>
      <c r="BH21" s="4" t="n">
        <v>420</v>
      </c>
      <c r="BI21" s="4" t="n">
        <v>0</v>
      </c>
      <c r="BJ21" s="4" t="n">
        <v>140</v>
      </c>
      <c r="BK21" s="4" t="n">
        <v>32</v>
      </c>
      <c r="BN21" s="4" t="n">
        <v>0.5</v>
      </c>
      <c r="BO21" s="4" t="n">
        <v>-3</v>
      </c>
      <c r="BP21" s="4" t="n">
        <v>14.6499996185303</v>
      </c>
      <c r="BQ21" s="4" t="n">
        <v>60</v>
      </c>
      <c r="BR21" s="4" t="n">
        <v>13.1999998092651</v>
      </c>
      <c r="BV21" s="4" t="n">
        <v>1</v>
      </c>
      <c r="BW21" s="4" t="s">
        <v>334</v>
      </c>
      <c r="BY21" s="4" t="s">
        <v>332</v>
      </c>
      <c r="BZ21" s="4" t="s">
        <v>332</v>
      </c>
      <c r="CA21" s="4" t="s">
        <v>332</v>
      </c>
      <c r="CB21" s="4" t="s">
        <v>333</v>
      </c>
      <c r="CC21" s="4" t="s">
        <v>332</v>
      </c>
      <c r="CD21" s="4" t="s">
        <v>332</v>
      </c>
      <c r="CE21" s="4" t="s">
        <v>332</v>
      </c>
      <c r="CF21" s="4" t="s">
        <v>333</v>
      </c>
      <c r="CN21" s="4" t="n">
        <v>500</v>
      </c>
      <c r="CO21" s="4" t="n">
        <v>35</v>
      </c>
      <c r="CQ21" s="4" t="n">
        <v>1287.90698242187</v>
      </c>
      <c r="CR21" s="4" t="n">
        <v>1.29999995231628</v>
      </c>
      <c r="CS21" s="4" t="n">
        <v>0.0102679999545217</v>
      </c>
      <c r="CT21" s="4" t="n">
        <v>0.738499999046326</v>
      </c>
      <c r="CU21" s="4" t="s">
        <v>334</v>
      </c>
      <c r="CW21" s="4" t="s">
        <v>327</v>
      </c>
      <c r="DF21" s="4" t="n">
        <v>0.11259999871254</v>
      </c>
      <c r="DG21" s="4" t="n">
        <v>0.621500015258789</v>
      </c>
      <c r="DH21" s="4" t="n">
        <v>79.1595001220703</v>
      </c>
      <c r="DI21" s="4" t="n">
        <v>10.7407999038696</v>
      </c>
      <c r="DJ21" s="4" t="n">
        <v>4.7878999710083</v>
      </c>
      <c r="DK21" s="4" t="n">
        <v>0.769400000572205</v>
      </c>
      <c r="DL21" s="4" t="n">
        <v>1.67200005054474</v>
      </c>
      <c r="DM21" s="4" t="n">
        <v>0.427799999713898</v>
      </c>
      <c r="DN21" s="4" t="n">
        <v>1.05280005931854</v>
      </c>
      <c r="DO21" s="4" t="n">
        <v>0.655700027942657</v>
      </c>
      <c r="DQ21" s="4" t="n">
        <v>0</v>
      </c>
      <c r="DR21" s="4" t="n">
        <v>0</v>
      </c>
      <c r="DS21" s="4" t="n">
        <v>0</v>
      </c>
      <c r="DT21" s="4" t="n">
        <v>0</v>
      </c>
      <c r="DU21" s="4" t="n">
        <v>0</v>
      </c>
      <c r="DV21" s="4" t="n">
        <v>0</v>
      </c>
      <c r="DW21" s="4" t="n">
        <v>0</v>
      </c>
      <c r="DX21" s="4" t="n">
        <v>0</v>
      </c>
      <c r="DY21" s="4" t="n">
        <v>0</v>
      </c>
      <c r="DZ21" s="4" t="n">
        <v>0</v>
      </c>
      <c r="EA21" s="4" t="n">
        <v>0</v>
      </c>
      <c r="EQ21" s="4" t="s">
        <v>335</v>
      </c>
      <c r="FR21" s="4" t="s">
        <v>374</v>
      </c>
    </row>
    <row r="22" customFormat="false" ht="15.75" hidden="false" customHeight="true" outlineLevel="0" collapsed="false">
      <c r="A22" s="169" t="n">
        <v>45047.375</v>
      </c>
      <c r="B22" s="169" t="n">
        <v>45078.375</v>
      </c>
      <c r="C22" s="4" t="s">
        <v>53</v>
      </c>
      <c r="D22" s="4" t="s">
        <v>378</v>
      </c>
      <c r="E22" s="4" t="n">
        <v>0</v>
      </c>
      <c r="F22" s="4" t="n">
        <v>0</v>
      </c>
      <c r="G22" s="4" t="n">
        <v>0</v>
      </c>
      <c r="I22" s="4" t="n">
        <v>945.909429324571</v>
      </c>
      <c r="J22" s="4" t="n">
        <v>76.9860555382185</v>
      </c>
      <c r="K22" s="4" t="n">
        <v>0</v>
      </c>
      <c r="L22" s="21" t="n">
        <v>7.50726646391965E-005</v>
      </c>
      <c r="N22" s="4" t="n">
        <v>1.09917235538732</v>
      </c>
      <c r="P22" s="4" t="s">
        <v>324</v>
      </c>
      <c r="Q22" s="4" t="s">
        <v>325</v>
      </c>
      <c r="T22" s="4" t="s">
        <v>326</v>
      </c>
      <c r="U22" s="4" t="s">
        <v>53</v>
      </c>
      <c r="V22" s="170" t="n">
        <v>43619</v>
      </c>
      <c r="W22" s="4" t="n">
        <v>1</v>
      </c>
      <c r="X22" s="4" t="n">
        <v>9</v>
      </c>
      <c r="AA22" s="4" t="n">
        <v>2.5</v>
      </c>
      <c r="AB22" s="4" t="n">
        <v>68</v>
      </c>
      <c r="AC22" s="4" t="s">
        <v>327</v>
      </c>
      <c r="AD22" s="4" t="n">
        <v>7.625</v>
      </c>
      <c r="AE22" s="4" t="n">
        <v>68</v>
      </c>
      <c r="AF22" s="4" t="s">
        <v>328</v>
      </c>
      <c r="AG22" s="4" t="s">
        <v>329</v>
      </c>
      <c r="AH22" s="4" t="s">
        <v>330</v>
      </c>
      <c r="AI22" s="4" t="s">
        <v>331</v>
      </c>
      <c r="AR22" s="4" t="s">
        <v>332</v>
      </c>
      <c r="AS22" s="4" t="s">
        <v>332</v>
      </c>
      <c r="AT22" s="4" t="s">
        <v>332</v>
      </c>
      <c r="AU22" s="4" t="s">
        <v>333</v>
      </c>
      <c r="AV22" s="4" t="n">
        <v>2047</v>
      </c>
      <c r="AW22" s="4" t="n">
        <v>0</v>
      </c>
      <c r="AX22" s="4" t="n">
        <v>400</v>
      </c>
      <c r="AY22" s="4" t="n">
        <v>0</v>
      </c>
      <c r="BB22" s="4" t="n">
        <v>2047.96875</v>
      </c>
      <c r="BC22" s="4" t="n">
        <v>0</v>
      </c>
      <c r="BD22" s="4" t="n">
        <v>100</v>
      </c>
      <c r="BE22" s="4" t="n">
        <v>0</v>
      </c>
      <c r="BH22" s="4" t="n">
        <v>420</v>
      </c>
      <c r="BI22" s="4" t="n">
        <v>0</v>
      </c>
      <c r="BJ22" s="4" t="n">
        <v>140</v>
      </c>
      <c r="BK22" s="4" t="n">
        <v>32</v>
      </c>
      <c r="BN22" s="4" t="n">
        <v>0.5</v>
      </c>
      <c r="BO22" s="4" t="n">
        <v>-3</v>
      </c>
      <c r="BP22" s="4" t="n">
        <v>14.6499996185303</v>
      </c>
      <c r="BQ22" s="4" t="n">
        <v>60</v>
      </c>
      <c r="BR22" s="4" t="n">
        <v>13.1999998092651</v>
      </c>
      <c r="BV22" s="4" t="n">
        <v>1</v>
      </c>
      <c r="BW22" s="4" t="s">
        <v>334</v>
      </c>
      <c r="BY22" s="4" t="s">
        <v>332</v>
      </c>
      <c r="BZ22" s="4" t="s">
        <v>332</v>
      </c>
      <c r="CA22" s="4" t="s">
        <v>332</v>
      </c>
      <c r="CB22" s="4" t="s">
        <v>333</v>
      </c>
      <c r="CC22" s="4" t="s">
        <v>332</v>
      </c>
      <c r="CD22" s="4" t="s">
        <v>332</v>
      </c>
      <c r="CE22" s="4" t="s">
        <v>332</v>
      </c>
      <c r="CF22" s="4" t="s">
        <v>333</v>
      </c>
      <c r="CK22" s="169" t="n">
        <v>44942.0548032407</v>
      </c>
      <c r="CL22" s="169" t="n">
        <v>44942.0548032407</v>
      </c>
      <c r="CN22" s="4" t="n">
        <v>500</v>
      </c>
      <c r="CO22" s="4" t="n">
        <v>35</v>
      </c>
      <c r="CQ22" s="4" t="n">
        <v>1226</v>
      </c>
      <c r="CR22" s="4" t="n">
        <v>1.3</v>
      </c>
      <c r="CS22" s="21" t="n">
        <v>6.9E-006</v>
      </c>
      <c r="CT22" s="4" t="n">
        <v>0.7095</v>
      </c>
      <c r="CU22" s="4" t="s">
        <v>334</v>
      </c>
      <c r="CV22" s="169" t="n">
        <v>45062</v>
      </c>
      <c r="CW22" s="4" t="s">
        <v>328</v>
      </c>
      <c r="CX22" s="4" t="s">
        <v>350</v>
      </c>
      <c r="CY22" s="4" t="n">
        <v>82</v>
      </c>
      <c r="CZ22" s="4" t="n">
        <v>900</v>
      </c>
      <c r="DB22" s="4" t="s">
        <v>341</v>
      </c>
      <c r="DC22" s="4" t="s">
        <v>379</v>
      </c>
      <c r="DD22" s="4" t="s">
        <v>380</v>
      </c>
      <c r="DF22" s="4" t="n">
        <v>0.359</v>
      </c>
      <c r="DG22" s="4" t="n">
        <v>0.847000000000001</v>
      </c>
      <c r="DH22" s="4" t="n">
        <v>80.724</v>
      </c>
      <c r="DI22" s="4" t="n">
        <v>10.702</v>
      </c>
      <c r="DJ22" s="4" t="n">
        <v>4.31</v>
      </c>
      <c r="DK22" s="4" t="n">
        <v>0.626</v>
      </c>
      <c r="DL22" s="4" t="n">
        <v>1.321</v>
      </c>
      <c r="DM22" s="4" t="n">
        <v>0.321</v>
      </c>
      <c r="DN22" s="4" t="n">
        <v>0.359</v>
      </c>
      <c r="DO22" s="4" t="n">
        <v>0.431</v>
      </c>
      <c r="EQ22" s="4" t="s">
        <v>335</v>
      </c>
      <c r="FR22" s="4" t="s">
        <v>374</v>
      </c>
    </row>
    <row r="23" customFormat="false" ht="15.75" hidden="false" customHeight="true" outlineLevel="0" collapsed="false">
      <c r="A23" s="169" t="n">
        <v>45047.375</v>
      </c>
      <c r="B23" s="169" t="n">
        <v>45078.375</v>
      </c>
      <c r="C23" s="4" t="s">
        <v>54</v>
      </c>
      <c r="D23" s="4" t="s">
        <v>381</v>
      </c>
      <c r="E23" s="4" t="n">
        <v>45361.55</v>
      </c>
      <c r="F23" s="4" t="n">
        <v>55613.26</v>
      </c>
      <c r="G23" s="4" t="n">
        <v>130.055403702042</v>
      </c>
      <c r="I23" s="4" t="n">
        <v>975.91517588566</v>
      </c>
      <c r="J23" s="4" t="n">
        <v>74.9318121595437</v>
      </c>
      <c r="K23" s="4" t="n">
        <v>40114.15</v>
      </c>
      <c r="L23" s="4" t="n">
        <v>14.8412350552798</v>
      </c>
      <c r="N23" s="4" t="n">
        <v>1.11965725361012</v>
      </c>
      <c r="P23" s="4" t="s">
        <v>324</v>
      </c>
      <c r="Q23" s="4" t="s">
        <v>325</v>
      </c>
      <c r="T23" s="4" t="s">
        <v>326</v>
      </c>
      <c r="U23" s="4" t="s">
        <v>54</v>
      </c>
      <c r="V23" s="170" t="n">
        <v>43619</v>
      </c>
      <c r="W23" s="4" t="n">
        <v>1</v>
      </c>
      <c r="X23" s="4" t="n">
        <v>9</v>
      </c>
      <c r="AA23" s="4" t="n">
        <v>0.875</v>
      </c>
      <c r="AB23" s="4" t="n">
        <v>68</v>
      </c>
      <c r="AC23" s="4" t="s">
        <v>327</v>
      </c>
      <c r="AD23" s="4" t="n">
        <v>3.82599997520447</v>
      </c>
      <c r="AE23" s="4" t="n">
        <v>68</v>
      </c>
      <c r="AF23" s="4" t="s">
        <v>328</v>
      </c>
      <c r="AG23" s="4" t="s">
        <v>329</v>
      </c>
      <c r="AH23" s="4" t="s">
        <v>330</v>
      </c>
      <c r="AI23" s="4" t="s">
        <v>331</v>
      </c>
      <c r="AR23" s="4" t="s">
        <v>332</v>
      </c>
      <c r="AS23" s="4" t="s">
        <v>332</v>
      </c>
      <c r="AT23" s="4" t="s">
        <v>332</v>
      </c>
      <c r="AU23" s="4" t="s">
        <v>333</v>
      </c>
      <c r="AV23" s="4" t="n">
        <v>2047</v>
      </c>
      <c r="AW23" s="4" t="n">
        <v>0</v>
      </c>
      <c r="AX23" s="4" t="n">
        <v>400</v>
      </c>
      <c r="AY23" s="4" t="n">
        <v>0</v>
      </c>
      <c r="BB23" s="4" t="n">
        <v>2047.96875</v>
      </c>
      <c r="BC23" s="4" t="n">
        <v>0</v>
      </c>
      <c r="BD23" s="4" t="n">
        <v>1513.19995117187</v>
      </c>
      <c r="BE23" s="4" t="n">
        <v>13.1999998092651</v>
      </c>
      <c r="BH23" s="4" t="n">
        <v>420</v>
      </c>
      <c r="BI23" s="4" t="n">
        <v>0</v>
      </c>
      <c r="BJ23" s="4" t="n">
        <v>140</v>
      </c>
      <c r="BK23" s="4" t="n">
        <v>32</v>
      </c>
      <c r="BN23" s="4" t="n">
        <v>0.5</v>
      </c>
      <c r="BO23" s="4" t="n">
        <v>-3</v>
      </c>
      <c r="BP23" s="4" t="n">
        <v>14.6499996185303</v>
      </c>
      <c r="BQ23" s="4" t="n">
        <v>60</v>
      </c>
      <c r="BR23" s="4" t="n">
        <v>13.1999998092651</v>
      </c>
      <c r="BV23" s="4" t="n">
        <v>1</v>
      </c>
      <c r="BW23" s="4" t="s">
        <v>334</v>
      </c>
      <c r="BY23" s="4" t="s">
        <v>332</v>
      </c>
      <c r="BZ23" s="4" t="s">
        <v>332</v>
      </c>
      <c r="CA23" s="4" t="s">
        <v>332</v>
      </c>
      <c r="CB23" s="4" t="s">
        <v>333</v>
      </c>
      <c r="CC23" s="4" t="s">
        <v>332</v>
      </c>
      <c r="CD23" s="4" t="s">
        <v>332</v>
      </c>
      <c r="CE23" s="4" t="s">
        <v>332</v>
      </c>
      <c r="CF23" s="4" t="s">
        <v>333</v>
      </c>
      <c r="CK23" s="169" t="n">
        <v>44942.0548032407</v>
      </c>
      <c r="CL23" s="169" t="n">
        <v>44942.0548032407</v>
      </c>
      <c r="CN23" s="4" t="n">
        <v>500</v>
      </c>
      <c r="CO23" s="4" t="n">
        <v>35</v>
      </c>
      <c r="CQ23" s="4" t="n">
        <v>1226</v>
      </c>
      <c r="CR23" s="4" t="n">
        <v>1.3</v>
      </c>
      <c r="CS23" s="21" t="n">
        <v>6.9E-006</v>
      </c>
      <c r="CT23" s="4" t="n">
        <v>0.7095</v>
      </c>
      <c r="CU23" s="4" t="s">
        <v>334</v>
      </c>
      <c r="CV23" s="169" t="n">
        <v>45062</v>
      </c>
      <c r="CW23" s="4" t="s">
        <v>328</v>
      </c>
      <c r="CX23" s="4" t="s">
        <v>350</v>
      </c>
      <c r="CY23" s="4" t="n">
        <v>82</v>
      </c>
      <c r="CZ23" s="4" t="n">
        <v>900</v>
      </c>
      <c r="DB23" s="4" t="s">
        <v>341</v>
      </c>
      <c r="DC23" s="4" t="s">
        <v>379</v>
      </c>
      <c r="DD23" s="4" t="s">
        <v>380</v>
      </c>
      <c r="DF23" s="4" t="n">
        <v>0.359</v>
      </c>
      <c r="DG23" s="4" t="n">
        <v>0.847</v>
      </c>
      <c r="DH23" s="4" t="n">
        <v>80.724</v>
      </c>
      <c r="DI23" s="4" t="n">
        <v>10.702</v>
      </c>
      <c r="DJ23" s="4" t="n">
        <v>4.31</v>
      </c>
      <c r="DK23" s="4" t="n">
        <v>0.626</v>
      </c>
      <c r="DL23" s="4" t="n">
        <v>1.321</v>
      </c>
      <c r="DM23" s="4" t="n">
        <v>0.321</v>
      </c>
      <c r="DN23" s="4" t="n">
        <v>0.359</v>
      </c>
      <c r="DO23" s="4" t="n">
        <v>0.431</v>
      </c>
      <c r="EQ23" s="4" t="s">
        <v>335</v>
      </c>
      <c r="FR23" s="4" t="s">
        <v>374</v>
      </c>
    </row>
    <row r="24" customFormat="false" ht="15.75" hidden="false" customHeight="true" outlineLevel="0" collapsed="false">
      <c r="A24" s="169" t="n">
        <v>45047.375</v>
      </c>
      <c r="B24" s="169" t="n">
        <v>45078.375</v>
      </c>
      <c r="C24" s="4" t="s">
        <v>55</v>
      </c>
      <c r="D24" s="4" t="s">
        <v>382</v>
      </c>
      <c r="E24" s="4" t="n">
        <v>164104.08</v>
      </c>
      <c r="F24" s="4" t="n">
        <v>203412.95</v>
      </c>
      <c r="G24" s="4" t="n">
        <v>13.6077074866124</v>
      </c>
      <c r="I24" s="4" t="n">
        <v>965.560787038263</v>
      </c>
      <c r="J24" s="4" t="n">
        <v>97.7972614856566</v>
      </c>
      <c r="K24" s="4" t="n">
        <v>38662.1666666667</v>
      </c>
      <c r="L24" s="4" t="n">
        <v>4.55107851889629</v>
      </c>
      <c r="N24" s="4" t="n">
        <v>1.09709638851708</v>
      </c>
      <c r="P24" s="4" t="s">
        <v>324</v>
      </c>
      <c r="Q24" s="4" t="s">
        <v>325</v>
      </c>
      <c r="T24" s="4" t="s">
        <v>326</v>
      </c>
      <c r="U24" s="4" t="s">
        <v>55</v>
      </c>
      <c r="V24" s="170" t="n">
        <v>43648</v>
      </c>
      <c r="W24" s="4" t="n">
        <v>1</v>
      </c>
      <c r="X24" s="4" t="n">
        <v>9</v>
      </c>
      <c r="AA24" s="4" t="n">
        <v>3</v>
      </c>
      <c r="AB24" s="4" t="n">
        <v>68</v>
      </c>
      <c r="AC24" s="4" t="s">
        <v>327</v>
      </c>
      <c r="AD24" s="4" t="n">
        <v>7.61899995803833</v>
      </c>
      <c r="AE24" s="4" t="n">
        <v>68</v>
      </c>
      <c r="AF24" s="4" t="s">
        <v>328</v>
      </c>
      <c r="AG24" s="4" t="s">
        <v>329</v>
      </c>
      <c r="AH24" s="4" t="s">
        <v>330</v>
      </c>
      <c r="AI24" s="4" t="s">
        <v>331</v>
      </c>
      <c r="AR24" s="4" t="s">
        <v>333</v>
      </c>
      <c r="AS24" s="4" t="s">
        <v>333</v>
      </c>
      <c r="AT24" s="4" t="s">
        <v>333</v>
      </c>
      <c r="AU24" s="4" t="s">
        <v>333</v>
      </c>
      <c r="AV24" s="4" t="n">
        <v>2047</v>
      </c>
      <c r="AW24" s="4" t="n">
        <v>0</v>
      </c>
      <c r="AX24" s="4" t="n">
        <v>400</v>
      </c>
      <c r="AY24" s="4" t="n">
        <v>0</v>
      </c>
      <c r="BB24" s="4" t="n">
        <v>2047.96875</v>
      </c>
      <c r="BC24" s="4" t="n">
        <v>0</v>
      </c>
      <c r="BD24" s="4" t="n">
        <v>1014.72998046875</v>
      </c>
      <c r="BE24" s="4" t="n">
        <v>14.7299995422363</v>
      </c>
      <c r="BH24" s="4" t="n">
        <v>420</v>
      </c>
      <c r="BI24" s="4" t="n">
        <v>0</v>
      </c>
      <c r="BJ24" s="4" t="n">
        <v>140</v>
      </c>
      <c r="BK24" s="4" t="n">
        <v>32</v>
      </c>
      <c r="BN24" s="4" t="n">
        <v>0.5</v>
      </c>
      <c r="BO24" s="4" t="n">
        <v>-3</v>
      </c>
      <c r="BP24" s="4" t="n">
        <v>14.6499996185303</v>
      </c>
      <c r="BQ24" s="4" t="n">
        <v>60</v>
      </c>
      <c r="BR24" s="4" t="n">
        <v>13.1999998092651</v>
      </c>
      <c r="BV24" s="4" t="n">
        <v>1</v>
      </c>
      <c r="BW24" s="4" t="s">
        <v>334</v>
      </c>
      <c r="BY24" s="4" t="s">
        <v>332</v>
      </c>
      <c r="BZ24" s="4" t="s">
        <v>332</v>
      </c>
      <c r="CA24" s="4" t="s">
        <v>332</v>
      </c>
      <c r="CB24" s="4" t="s">
        <v>333</v>
      </c>
      <c r="CC24" s="4" t="s">
        <v>332</v>
      </c>
      <c r="CD24" s="4" t="s">
        <v>332</v>
      </c>
      <c r="CE24" s="4" t="s">
        <v>332</v>
      </c>
      <c r="CF24" s="4" t="s">
        <v>333</v>
      </c>
      <c r="CK24" s="169" t="n">
        <v>44805.9828819445</v>
      </c>
      <c r="CL24" s="169" t="n">
        <v>44805.9828819445</v>
      </c>
      <c r="CN24" s="4" t="n">
        <v>500</v>
      </c>
      <c r="CO24" s="4" t="n">
        <v>35</v>
      </c>
      <c r="CQ24" s="4" t="n">
        <v>1239.53816044123</v>
      </c>
      <c r="CR24" s="4" t="n">
        <v>1.29999995231628</v>
      </c>
      <c r="CS24" s="4" t="n">
        <v>0.0102679999545217</v>
      </c>
      <c r="CT24" s="4" t="n">
        <v>0.709700811017417</v>
      </c>
      <c r="CU24" s="4" t="s">
        <v>334</v>
      </c>
      <c r="CV24" s="169" t="n">
        <v>45078</v>
      </c>
      <c r="CW24" s="4" t="s">
        <v>325</v>
      </c>
      <c r="DF24" s="4" t="n">
        <v>0.00510418212034034</v>
      </c>
      <c r="DG24" s="4" t="n">
        <v>0.594280508772907</v>
      </c>
      <c r="DH24" s="4" t="n">
        <v>81.2786633147187</v>
      </c>
      <c r="DI24" s="4" t="n">
        <v>10.5018070889406</v>
      </c>
      <c r="DJ24" s="4" t="n">
        <v>4.25902740437906</v>
      </c>
      <c r="DK24" s="4" t="n">
        <v>0.694532701298378</v>
      </c>
      <c r="DL24" s="4" t="n">
        <v>1.38931661717306</v>
      </c>
      <c r="DM24" s="4" t="n">
        <v>0.361497121940463</v>
      </c>
      <c r="DN24" s="4" t="n">
        <v>0.414292165717674</v>
      </c>
      <c r="DO24" s="4" t="n">
        <v>0.240151564667873</v>
      </c>
      <c r="DQ24" s="4" t="n">
        <v>0.168573423480409</v>
      </c>
      <c r="DR24" s="4" t="n">
        <v>0.0927538100885032</v>
      </c>
      <c r="EQ24" s="4" t="s">
        <v>335</v>
      </c>
      <c r="FR24" s="4" t="s">
        <v>374</v>
      </c>
    </row>
    <row r="25" customFormat="false" ht="15.75" hidden="false" customHeight="true" outlineLevel="0" collapsed="false">
      <c r="A25" s="169" t="n">
        <v>45047.375</v>
      </c>
      <c r="B25" s="169" t="n">
        <v>45078.375</v>
      </c>
      <c r="C25" s="4" t="s">
        <v>56</v>
      </c>
      <c r="D25" s="4" t="s">
        <v>383</v>
      </c>
      <c r="E25" s="4" t="n">
        <v>0</v>
      </c>
      <c r="F25" s="4" t="n">
        <v>0</v>
      </c>
      <c r="G25" s="4" t="n">
        <v>0</v>
      </c>
      <c r="I25" s="4" t="n">
        <v>46.0765275391199</v>
      </c>
      <c r="J25" s="4" t="n">
        <v>105.669454554076</v>
      </c>
      <c r="K25" s="4" t="n">
        <v>0</v>
      </c>
      <c r="L25" s="4" t="n">
        <v>0</v>
      </c>
      <c r="P25" s="4" t="s">
        <v>324</v>
      </c>
      <c r="Q25" s="4" t="s">
        <v>325</v>
      </c>
      <c r="T25" s="4" t="s">
        <v>326</v>
      </c>
      <c r="U25" s="4" t="s">
        <v>56</v>
      </c>
      <c r="V25" s="170" t="n">
        <v>43648</v>
      </c>
      <c r="W25" s="4" t="n">
        <v>1</v>
      </c>
      <c r="X25" s="4" t="n">
        <v>9</v>
      </c>
      <c r="AA25" s="4" t="n">
        <v>2</v>
      </c>
      <c r="AB25" s="4" t="n">
        <v>68</v>
      </c>
      <c r="AC25" s="4" t="s">
        <v>327</v>
      </c>
      <c r="AD25" s="4" t="n">
        <v>3.82599997520447</v>
      </c>
      <c r="AE25" s="4" t="n">
        <v>68</v>
      </c>
      <c r="AF25" s="4" t="s">
        <v>328</v>
      </c>
      <c r="AG25" s="4" t="s">
        <v>329</v>
      </c>
      <c r="AH25" s="4" t="s">
        <v>330</v>
      </c>
      <c r="AI25" s="4" t="s">
        <v>331</v>
      </c>
      <c r="AR25" s="4" t="s">
        <v>333</v>
      </c>
      <c r="AS25" s="4" t="s">
        <v>333</v>
      </c>
      <c r="AT25" s="4" t="s">
        <v>333</v>
      </c>
      <c r="AU25" s="4" t="s">
        <v>333</v>
      </c>
      <c r="AV25" s="4" t="n">
        <v>2047</v>
      </c>
      <c r="AW25" s="4" t="n">
        <v>0</v>
      </c>
      <c r="AX25" s="4" t="n">
        <v>400</v>
      </c>
      <c r="AY25" s="4" t="n">
        <v>0</v>
      </c>
      <c r="BB25" s="4" t="n">
        <v>2047.96875</v>
      </c>
      <c r="BC25" s="4" t="n">
        <v>0</v>
      </c>
      <c r="BD25" s="4" t="n">
        <v>1014.72998046875</v>
      </c>
      <c r="BE25" s="4" t="n">
        <v>14.7299995422363</v>
      </c>
      <c r="BH25" s="4" t="n">
        <v>420</v>
      </c>
      <c r="BI25" s="4" t="n">
        <v>0</v>
      </c>
      <c r="BJ25" s="4" t="n">
        <v>140</v>
      </c>
      <c r="BK25" s="4" t="n">
        <v>32</v>
      </c>
      <c r="BN25" s="4" t="n">
        <v>0.5</v>
      </c>
      <c r="BO25" s="4" t="n">
        <v>-3</v>
      </c>
      <c r="BP25" s="4" t="n">
        <v>14.6499996185303</v>
      </c>
      <c r="BQ25" s="4" t="n">
        <v>60</v>
      </c>
      <c r="BR25" s="4" t="n">
        <v>13.1999998092651</v>
      </c>
      <c r="BV25" s="4" t="n">
        <v>1</v>
      </c>
      <c r="BW25" s="4" t="s">
        <v>334</v>
      </c>
      <c r="BY25" s="4" t="s">
        <v>332</v>
      </c>
      <c r="BZ25" s="4" t="s">
        <v>332</v>
      </c>
      <c r="CA25" s="4" t="s">
        <v>332</v>
      </c>
      <c r="CB25" s="4" t="s">
        <v>333</v>
      </c>
      <c r="CC25" s="4" t="s">
        <v>332</v>
      </c>
      <c r="CD25" s="4" t="s">
        <v>332</v>
      </c>
      <c r="CE25" s="4" t="s">
        <v>332</v>
      </c>
      <c r="CF25" s="4" t="s">
        <v>333</v>
      </c>
      <c r="CK25" s="169" t="n">
        <v>44805.9828819445</v>
      </c>
      <c r="CL25" s="169" t="n">
        <v>44805.9828819445</v>
      </c>
      <c r="CN25" s="4" t="n">
        <v>500</v>
      </c>
      <c r="CO25" s="4" t="n">
        <v>35</v>
      </c>
      <c r="CQ25" s="4" t="n">
        <v>1239.0621141003</v>
      </c>
      <c r="CR25" s="4" t="n">
        <v>1.29999995231628</v>
      </c>
      <c r="CS25" s="4" t="n">
        <v>0.0102679999545217</v>
      </c>
      <c r="CT25" s="4" t="n">
        <v>0.709462950146326</v>
      </c>
      <c r="CU25" s="4" t="s">
        <v>334</v>
      </c>
      <c r="CV25" s="169" t="n">
        <v>45078</v>
      </c>
      <c r="CW25" s="4" t="s">
        <v>325</v>
      </c>
      <c r="DF25" s="4" t="n">
        <v>0.0104920869807463</v>
      </c>
      <c r="DG25" s="4" t="n">
        <v>0.593050870203203</v>
      </c>
      <c r="DH25" s="4" t="n">
        <v>81.2436523334954</v>
      </c>
      <c r="DI25" s="4" t="n">
        <v>10.5658812522888</v>
      </c>
      <c r="DJ25" s="4" t="n">
        <v>4.24323085975903</v>
      </c>
      <c r="DK25" s="4" t="n">
        <v>0.693949774228116</v>
      </c>
      <c r="DL25" s="4" t="n">
        <v>1.3857839128343</v>
      </c>
      <c r="DM25" s="4" t="n">
        <v>0.360322510523181</v>
      </c>
      <c r="DN25" s="4" t="n">
        <v>0.413619444535304</v>
      </c>
      <c r="DO25" s="4" t="n">
        <v>0.235464656745554</v>
      </c>
      <c r="DQ25" s="4" t="n">
        <v>0.161447630744548</v>
      </c>
      <c r="DR25" s="4" t="n">
        <v>0.0931045681398402</v>
      </c>
      <c r="EQ25" s="4" t="s">
        <v>335</v>
      </c>
      <c r="FR25" s="4" t="s">
        <v>374</v>
      </c>
    </row>
    <row r="26" customFormat="false" ht="15.75" hidden="false" customHeight="true" outlineLevel="0" collapsed="false">
      <c r="A26" s="169" t="n">
        <v>45047.375</v>
      </c>
      <c r="B26" s="169" t="n">
        <v>45078.375</v>
      </c>
      <c r="C26" s="4" t="s">
        <v>57</v>
      </c>
      <c r="D26" s="4" t="s">
        <v>384</v>
      </c>
      <c r="E26" s="4" t="n">
        <v>815353.24</v>
      </c>
      <c r="F26" s="4" t="n">
        <v>1002884.54</v>
      </c>
      <c r="G26" s="4" t="n">
        <v>338.904330175243</v>
      </c>
      <c r="I26" s="4" t="n">
        <v>989.166348175679</v>
      </c>
      <c r="J26" s="4" t="n">
        <v>94.4882714358941</v>
      </c>
      <c r="K26" s="4" t="n">
        <v>44039.8333333333</v>
      </c>
      <c r="L26" s="4" t="n">
        <v>24.2641259567667</v>
      </c>
      <c r="N26" s="4" t="n">
        <v>1.11277005888219</v>
      </c>
      <c r="P26" s="4" t="s">
        <v>324</v>
      </c>
      <c r="Q26" s="4" t="s">
        <v>325</v>
      </c>
      <c r="T26" s="4" t="s">
        <v>326</v>
      </c>
      <c r="U26" s="4" t="s">
        <v>57</v>
      </c>
      <c r="V26" s="170" t="n">
        <v>44468</v>
      </c>
      <c r="W26" s="4" t="n">
        <v>1</v>
      </c>
      <c r="X26" s="4" t="n">
        <v>9</v>
      </c>
      <c r="AA26" s="4" t="n">
        <v>2.75</v>
      </c>
      <c r="AB26" s="4" t="n">
        <v>68</v>
      </c>
      <c r="AC26" s="4" t="s">
        <v>327</v>
      </c>
      <c r="AD26" s="4" t="n">
        <v>6.06899976730347</v>
      </c>
      <c r="AE26" s="4" t="n">
        <v>68</v>
      </c>
      <c r="AF26" s="4" t="s">
        <v>328</v>
      </c>
      <c r="AG26" s="4" t="s">
        <v>329</v>
      </c>
      <c r="AH26" s="4" t="s">
        <v>330</v>
      </c>
      <c r="AI26" s="4" t="s">
        <v>331</v>
      </c>
      <c r="AR26" s="4" t="s">
        <v>332</v>
      </c>
      <c r="AS26" s="4" t="s">
        <v>332</v>
      </c>
      <c r="AT26" s="4" t="s">
        <v>332</v>
      </c>
      <c r="AU26" s="4" t="s">
        <v>333</v>
      </c>
      <c r="AV26" s="4" t="n">
        <v>2047</v>
      </c>
      <c r="AW26" s="4" t="n">
        <v>0</v>
      </c>
      <c r="AX26" s="4" t="n">
        <v>400</v>
      </c>
      <c r="AY26" s="4" t="n">
        <v>0</v>
      </c>
      <c r="BB26" s="4" t="n">
        <v>2047</v>
      </c>
      <c r="BC26" s="4" t="n">
        <v>0</v>
      </c>
      <c r="BD26" s="4" t="n">
        <v>1513.19995117187</v>
      </c>
      <c r="BE26" s="4" t="n">
        <v>13.1999998092651</v>
      </c>
      <c r="BH26" s="4" t="n">
        <v>420</v>
      </c>
      <c r="BI26" s="4" t="n">
        <v>0</v>
      </c>
      <c r="BN26" s="4" t="n">
        <v>0.5</v>
      </c>
      <c r="BO26" s="4" t="n">
        <v>-3</v>
      </c>
      <c r="BP26" s="4" t="n">
        <v>14.6499996185303</v>
      </c>
      <c r="BQ26" s="4" t="n">
        <v>60</v>
      </c>
      <c r="BR26" s="4" t="n">
        <v>13.1999998092651</v>
      </c>
      <c r="BV26" s="4" t="n">
        <v>1</v>
      </c>
      <c r="BW26" s="4" t="s">
        <v>334</v>
      </c>
      <c r="BX26" s="4" t="n">
        <v>60</v>
      </c>
      <c r="BY26" s="4" t="s">
        <v>332</v>
      </c>
      <c r="BZ26" s="4" t="s">
        <v>332</v>
      </c>
      <c r="CA26" s="4" t="s">
        <v>332</v>
      </c>
      <c r="CB26" s="4" t="s">
        <v>333</v>
      </c>
      <c r="CC26" s="4" t="s">
        <v>332</v>
      </c>
      <c r="CD26" s="4" t="s">
        <v>332</v>
      </c>
      <c r="CE26" s="4" t="s">
        <v>332</v>
      </c>
      <c r="CF26" s="4" t="s">
        <v>333</v>
      </c>
      <c r="CK26" s="169" t="n">
        <v>43531.5672222222</v>
      </c>
      <c r="CQ26" s="4" t="n">
        <v>1271.05793957678</v>
      </c>
      <c r="CR26" s="4" t="n">
        <v>1.29999995231628</v>
      </c>
      <c r="CS26" s="4" t="n">
        <v>0.0102679999545217</v>
      </c>
      <c r="CT26" s="4" t="n">
        <v>0.731636268975788</v>
      </c>
      <c r="CV26" s="169" t="n">
        <v>45078</v>
      </c>
      <c r="CW26" s="4" t="s">
        <v>327</v>
      </c>
      <c r="DF26" s="4" t="n">
        <v>0.099279756712626</v>
      </c>
      <c r="DG26" s="4" t="n">
        <v>0.602165263373735</v>
      </c>
      <c r="DH26" s="4" t="n">
        <v>79.160326528009</v>
      </c>
      <c r="DI26" s="4" t="n">
        <v>11.1755135924096</v>
      </c>
      <c r="DJ26" s="4" t="n">
        <v>4.99296145641652</v>
      </c>
      <c r="DK26" s="4" t="n">
        <v>0.772059422793529</v>
      </c>
      <c r="DL26" s="4" t="n">
        <v>1.70336529291086</v>
      </c>
      <c r="DM26" s="4" t="n">
        <v>0.424818904481619</v>
      </c>
      <c r="DN26" s="4" t="n">
        <v>0.502816387523273</v>
      </c>
      <c r="DO26" s="4" t="n">
        <v>0.272254027456363</v>
      </c>
      <c r="DQ26" s="4" t="n">
        <v>0.186932308813608</v>
      </c>
      <c r="DR26" s="4" t="n">
        <v>0.107505017051885</v>
      </c>
      <c r="EQ26" s="4" t="s">
        <v>335</v>
      </c>
      <c r="FR26" s="4" t="s">
        <v>369</v>
      </c>
    </row>
    <row r="27" customFormat="false" ht="15.75" hidden="false" customHeight="true" outlineLevel="0" collapsed="false">
      <c r="A27" s="169" t="n">
        <v>45047.375</v>
      </c>
      <c r="B27" s="169" t="n">
        <v>45078.375</v>
      </c>
      <c r="C27" s="4" t="s">
        <v>58</v>
      </c>
      <c r="D27" s="4" t="s">
        <v>385</v>
      </c>
      <c r="E27" s="4" t="n">
        <v>126383.28</v>
      </c>
      <c r="F27" s="4" t="n">
        <v>153429.3</v>
      </c>
      <c r="G27" s="4" t="n">
        <v>26.1204260237228</v>
      </c>
      <c r="I27" s="4" t="n">
        <v>1038.17373472406</v>
      </c>
      <c r="J27" s="4" t="n">
        <v>87.138526581894</v>
      </c>
      <c r="K27" s="4" t="n">
        <v>33770.9</v>
      </c>
      <c r="L27" s="4" t="n">
        <v>6.38682404415244</v>
      </c>
      <c r="N27" s="4" t="n">
        <v>1.11979024485072</v>
      </c>
      <c r="P27" s="4" t="s">
        <v>324</v>
      </c>
      <c r="Q27" s="4" t="s">
        <v>325</v>
      </c>
      <c r="T27" s="4" t="s">
        <v>326</v>
      </c>
      <c r="U27" s="4" t="s">
        <v>58</v>
      </c>
      <c r="V27" s="170" t="n">
        <v>43619</v>
      </c>
      <c r="W27" s="4" t="n">
        <v>1</v>
      </c>
      <c r="X27" s="4" t="n">
        <v>9</v>
      </c>
      <c r="AA27" s="4" t="n">
        <v>2.5</v>
      </c>
      <c r="AB27" s="4" t="n">
        <v>68</v>
      </c>
      <c r="AC27" s="4" t="s">
        <v>327</v>
      </c>
      <c r="AD27" s="4" t="n">
        <v>7.625</v>
      </c>
      <c r="AE27" s="4" t="n">
        <v>68</v>
      </c>
      <c r="AF27" s="4" t="s">
        <v>328</v>
      </c>
      <c r="AG27" s="4" t="s">
        <v>329</v>
      </c>
      <c r="AH27" s="4" t="s">
        <v>330</v>
      </c>
      <c r="AI27" s="4" t="s">
        <v>331</v>
      </c>
      <c r="AR27" s="4" t="s">
        <v>332</v>
      </c>
      <c r="AS27" s="4" t="s">
        <v>332</v>
      </c>
      <c r="AT27" s="4" t="s">
        <v>332</v>
      </c>
      <c r="AU27" s="4" t="s">
        <v>333</v>
      </c>
      <c r="AV27" s="4" t="n">
        <v>2047</v>
      </c>
      <c r="AW27" s="4" t="n">
        <v>0</v>
      </c>
      <c r="AX27" s="4" t="n">
        <v>400</v>
      </c>
      <c r="AY27" s="4" t="n">
        <v>0</v>
      </c>
      <c r="BB27" s="4" t="n">
        <v>2047</v>
      </c>
      <c r="BC27" s="4" t="n">
        <v>0</v>
      </c>
      <c r="BD27" s="4" t="n">
        <v>1514.65002441406</v>
      </c>
      <c r="BE27" s="4" t="n">
        <v>14.6499996185303</v>
      </c>
      <c r="BH27" s="4" t="n">
        <v>420</v>
      </c>
      <c r="BI27" s="4" t="n">
        <v>0</v>
      </c>
      <c r="BN27" s="4" t="n">
        <v>0.5</v>
      </c>
      <c r="BO27" s="4" t="n">
        <v>-3</v>
      </c>
      <c r="BP27" s="4" t="n">
        <v>14.6499996185303</v>
      </c>
      <c r="BQ27" s="4" t="n">
        <v>60</v>
      </c>
      <c r="BR27" s="4" t="n">
        <v>13.1999998092651</v>
      </c>
      <c r="BV27" s="4" t="n">
        <v>1</v>
      </c>
      <c r="BW27" s="4" t="s">
        <v>334</v>
      </c>
      <c r="BX27" s="4" t="n">
        <v>60</v>
      </c>
      <c r="BY27" s="4" t="s">
        <v>332</v>
      </c>
      <c r="BZ27" s="4" t="s">
        <v>332</v>
      </c>
      <c r="CA27" s="4" t="s">
        <v>332</v>
      </c>
      <c r="CB27" s="4" t="s">
        <v>333</v>
      </c>
      <c r="CC27" s="4" t="s">
        <v>332</v>
      </c>
      <c r="CD27" s="4" t="s">
        <v>332</v>
      </c>
      <c r="CE27" s="4" t="s">
        <v>333</v>
      </c>
      <c r="CF27" s="4" t="s">
        <v>333</v>
      </c>
      <c r="CK27" s="169" t="n">
        <v>43715.5109027778</v>
      </c>
      <c r="CL27" s="169" t="n">
        <v>43715.5109027778</v>
      </c>
      <c r="CQ27" s="4" t="n">
        <v>1214</v>
      </c>
      <c r="CR27" s="4" t="n">
        <v>1.3</v>
      </c>
      <c r="CS27" s="21" t="n">
        <v>6.9E-006</v>
      </c>
      <c r="CT27" s="4" t="n">
        <v>0.7403</v>
      </c>
      <c r="CU27" s="4" t="s">
        <v>334</v>
      </c>
      <c r="CV27" s="169" t="n">
        <v>45067</v>
      </c>
      <c r="CW27" s="4" t="s">
        <v>328</v>
      </c>
      <c r="CX27" s="4" t="s">
        <v>350</v>
      </c>
      <c r="CY27" s="4" t="n">
        <v>72</v>
      </c>
      <c r="CZ27" s="4" t="n">
        <v>1000</v>
      </c>
      <c r="DB27" s="4" t="s">
        <v>386</v>
      </c>
      <c r="DC27" s="4" t="s">
        <v>387</v>
      </c>
      <c r="DD27" s="4" t="s">
        <v>355</v>
      </c>
      <c r="DF27" s="4" t="n">
        <v>2.372</v>
      </c>
      <c r="DG27" s="4" t="n">
        <v>1.429</v>
      </c>
      <c r="DH27" s="4" t="n">
        <v>78.31</v>
      </c>
      <c r="DI27" s="4" t="n">
        <v>9.607</v>
      </c>
      <c r="DJ27" s="4" t="n">
        <v>4.619</v>
      </c>
      <c r="DK27" s="4" t="n">
        <v>0.699</v>
      </c>
      <c r="DL27" s="4" t="n">
        <v>1.528</v>
      </c>
      <c r="DM27" s="4" t="n">
        <v>0.509</v>
      </c>
      <c r="DN27" s="4" t="n">
        <v>0.405</v>
      </c>
      <c r="DO27" s="4" t="n">
        <v>0.522</v>
      </c>
      <c r="EQ27" s="4" t="s">
        <v>335</v>
      </c>
      <c r="FR27" s="4" t="s">
        <v>369</v>
      </c>
    </row>
    <row r="28" customFormat="false" ht="15.75" hidden="false" customHeight="true" outlineLevel="0" collapsed="false">
      <c r="A28" s="169" t="n">
        <v>45047.375</v>
      </c>
      <c r="B28" s="169" t="n">
        <v>45078.375</v>
      </c>
      <c r="C28" s="4" t="s">
        <v>59</v>
      </c>
      <c r="D28" s="4" t="s">
        <v>388</v>
      </c>
      <c r="E28" s="4" t="n">
        <v>0</v>
      </c>
      <c r="F28" s="4" t="n">
        <v>0</v>
      </c>
      <c r="G28" s="4" t="n">
        <v>0</v>
      </c>
      <c r="I28" s="4" t="n">
        <v>13.6736551548845</v>
      </c>
      <c r="J28" s="4" t="n">
        <v>79.194365978241</v>
      </c>
      <c r="K28" s="4" t="n">
        <v>0</v>
      </c>
      <c r="L28" s="21" t="n">
        <v>1.39813261827634E-005</v>
      </c>
      <c r="N28" s="4" t="n">
        <v>0.99990216812815</v>
      </c>
      <c r="P28" s="4" t="s">
        <v>324</v>
      </c>
      <c r="Q28" s="4" t="s">
        <v>325</v>
      </c>
      <c r="T28" s="4" t="s">
        <v>326</v>
      </c>
      <c r="U28" s="4" t="s">
        <v>59</v>
      </c>
      <c r="V28" s="170" t="n">
        <v>43712</v>
      </c>
      <c r="W28" s="4" t="n">
        <v>1</v>
      </c>
      <c r="X28" s="4" t="n">
        <v>9</v>
      </c>
      <c r="AA28" s="4" t="n">
        <v>1.5</v>
      </c>
      <c r="AB28" s="4" t="n">
        <v>68</v>
      </c>
      <c r="AC28" s="4" t="s">
        <v>327</v>
      </c>
      <c r="AD28" s="4" t="n">
        <v>3.82599997520447</v>
      </c>
      <c r="AE28" s="4" t="n">
        <v>68</v>
      </c>
      <c r="AF28" s="4" t="s">
        <v>328</v>
      </c>
      <c r="AG28" s="4" t="s">
        <v>329</v>
      </c>
      <c r="AH28" s="4" t="s">
        <v>330</v>
      </c>
      <c r="AI28" s="4" t="s">
        <v>331</v>
      </c>
      <c r="AR28" s="4" t="s">
        <v>332</v>
      </c>
      <c r="AS28" s="4" t="s">
        <v>332</v>
      </c>
      <c r="AT28" s="4" t="s">
        <v>332</v>
      </c>
      <c r="AU28" s="4" t="s">
        <v>333</v>
      </c>
      <c r="AV28" s="4" t="n">
        <v>2047</v>
      </c>
      <c r="AW28" s="4" t="n">
        <v>0</v>
      </c>
      <c r="AX28" s="4" t="n">
        <v>400</v>
      </c>
      <c r="AY28" s="4" t="n">
        <v>0</v>
      </c>
      <c r="BB28" s="4" t="n">
        <v>2047.96875</v>
      </c>
      <c r="BC28" s="4" t="n">
        <v>0</v>
      </c>
      <c r="BD28" s="4" t="n">
        <v>1513.19995117187</v>
      </c>
      <c r="BE28" s="4" t="n">
        <v>13.1999998092651</v>
      </c>
      <c r="BH28" s="4" t="n">
        <v>420</v>
      </c>
      <c r="BI28" s="4" t="n">
        <v>0</v>
      </c>
      <c r="BN28" s="4" t="n">
        <v>0.5</v>
      </c>
      <c r="BO28" s="4" t="n">
        <v>-3</v>
      </c>
      <c r="BP28" s="4" t="n">
        <v>14.6499996185303</v>
      </c>
      <c r="BQ28" s="4" t="n">
        <v>60</v>
      </c>
      <c r="BR28" s="4" t="n">
        <v>13.1999998092651</v>
      </c>
      <c r="BV28" s="4" t="n">
        <v>1</v>
      </c>
      <c r="BW28" s="4" t="s">
        <v>334</v>
      </c>
      <c r="BX28" s="4" t="n">
        <v>60</v>
      </c>
      <c r="BY28" s="4" t="s">
        <v>332</v>
      </c>
      <c r="BZ28" s="4" t="s">
        <v>332</v>
      </c>
      <c r="CA28" s="4" t="s">
        <v>332</v>
      </c>
      <c r="CB28" s="4" t="s">
        <v>333</v>
      </c>
      <c r="CC28" s="4" t="s">
        <v>332</v>
      </c>
      <c r="CD28" s="4" t="s">
        <v>332</v>
      </c>
      <c r="CE28" s="4" t="s">
        <v>333</v>
      </c>
      <c r="CF28" s="4" t="s">
        <v>333</v>
      </c>
      <c r="CK28" s="169" t="n">
        <v>44925.4978472222</v>
      </c>
      <c r="CL28" s="169" t="n">
        <v>44925.4978472222</v>
      </c>
      <c r="CQ28" s="4" t="n">
        <v>1189</v>
      </c>
      <c r="CR28" s="4" t="n">
        <v>1.29999995231628</v>
      </c>
      <c r="CS28" s="4" t="n">
        <v>0.0102679999545217</v>
      </c>
      <c r="CT28" s="4" t="n">
        <v>0.6789</v>
      </c>
      <c r="CU28" s="4" t="s">
        <v>334</v>
      </c>
      <c r="CV28" s="169" t="n">
        <v>44713</v>
      </c>
      <c r="CW28" s="4" t="s">
        <v>327</v>
      </c>
      <c r="DF28" s="4" t="n">
        <v>0.176</v>
      </c>
      <c r="DG28" s="4" t="n">
        <v>0.485</v>
      </c>
      <c r="DH28" s="4" t="n">
        <v>85.8800000000001</v>
      </c>
      <c r="DI28" s="4" t="n">
        <v>7.333</v>
      </c>
      <c r="DJ28" s="4" t="n">
        <v>3.294</v>
      </c>
      <c r="DK28" s="4" t="n">
        <v>0.45</v>
      </c>
      <c r="DL28" s="4" t="n">
        <v>1.099</v>
      </c>
      <c r="DM28" s="4" t="n">
        <v>0.289</v>
      </c>
      <c r="DN28" s="4" t="n">
        <v>0.349</v>
      </c>
      <c r="DO28" s="4" t="n">
        <v>0.645</v>
      </c>
      <c r="EQ28" s="4" t="s">
        <v>335</v>
      </c>
      <c r="FR28" s="4" t="s">
        <v>389</v>
      </c>
    </row>
    <row r="29" customFormat="false" ht="15.75" hidden="false" customHeight="true" outlineLevel="0" collapsed="false">
      <c r="A29" s="169" t="n">
        <v>45047.375</v>
      </c>
      <c r="B29" s="169" t="n">
        <v>45078.375</v>
      </c>
      <c r="C29" s="4" t="s">
        <v>60</v>
      </c>
      <c r="D29" s="4" t="s">
        <v>390</v>
      </c>
      <c r="E29" s="4" t="n">
        <v>14399.14</v>
      </c>
      <c r="F29" s="4" t="n">
        <v>20187.6</v>
      </c>
      <c r="G29" s="4" t="n">
        <v>46.8133587608175</v>
      </c>
      <c r="I29" s="4" t="n">
        <v>71.1374473111294</v>
      </c>
      <c r="J29" s="4" t="n">
        <v>79.980892128898</v>
      </c>
      <c r="K29" s="4" t="n">
        <v>40625.9333333333</v>
      </c>
      <c r="L29" s="4" t="n">
        <v>2.26357921841922</v>
      </c>
      <c r="N29" s="4" t="n">
        <v>1.00783458635845</v>
      </c>
      <c r="P29" s="4" t="s">
        <v>324</v>
      </c>
      <c r="Q29" s="4" t="s">
        <v>325</v>
      </c>
      <c r="T29" s="4" t="s">
        <v>326</v>
      </c>
      <c r="U29" s="4" t="s">
        <v>60</v>
      </c>
      <c r="V29" s="170" t="n">
        <v>43619</v>
      </c>
      <c r="W29" s="4" t="n">
        <v>1</v>
      </c>
      <c r="X29" s="4" t="n">
        <v>9</v>
      </c>
      <c r="AA29" s="4" t="n">
        <v>1.375</v>
      </c>
      <c r="AB29" s="4" t="n">
        <v>68</v>
      </c>
      <c r="AC29" s="4" t="s">
        <v>327</v>
      </c>
      <c r="AD29" s="4" t="n">
        <v>6.06500005722046</v>
      </c>
      <c r="AE29" s="4" t="n">
        <v>68</v>
      </c>
      <c r="AF29" s="4" t="s">
        <v>328</v>
      </c>
      <c r="AG29" s="4" t="s">
        <v>329</v>
      </c>
      <c r="AH29" s="4" t="s">
        <v>330</v>
      </c>
      <c r="AI29" s="4" t="s">
        <v>331</v>
      </c>
      <c r="AR29" s="4" t="s">
        <v>332</v>
      </c>
      <c r="AS29" s="4" t="s">
        <v>332</v>
      </c>
      <c r="AT29" s="4" t="s">
        <v>332</v>
      </c>
      <c r="AU29" s="4" t="s">
        <v>333</v>
      </c>
      <c r="AV29" s="4" t="n">
        <v>2047</v>
      </c>
      <c r="AW29" s="4" t="n">
        <v>0</v>
      </c>
      <c r="AX29" s="4" t="n">
        <v>400</v>
      </c>
      <c r="AY29" s="4" t="n">
        <v>0</v>
      </c>
      <c r="BB29" s="4" t="n">
        <v>2047</v>
      </c>
      <c r="BC29" s="4" t="n">
        <v>0</v>
      </c>
      <c r="BD29" s="4" t="n">
        <v>1014.72998046875</v>
      </c>
      <c r="BE29" s="4" t="n">
        <v>14.7299995422363</v>
      </c>
      <c r="BH29" s="4" t="n">
        <v>420</v>
      </c>
      <c r="BI29" s="4" t="n">
        <v>0</v>
      </c>
      <c r="BN29" s="4" t="n">
        <v>0.5</v>
      </c>
      <c r="BO29" s="4" t="n">
        <v>-3</v>
      </c>
      <c r="BP29" s="4" t="n">
        <v>14.6499996185303</v>
      </c>
      <c r="BQ29" s="4" t="n">
        <v>60</v>
      </c>
      <c r="BR29" s="4" t="n">
        <v>13.1999998092651</v>
      </c>
      <c r="BV29" s="4" t="n">
        <v>1</v>
      </c>
      <c r="BW29" s="4" t="s">
        <v>334</v>
      </c>
      <c r="BX29" s="4" t="n">
        <v>60</v>
      </c>
      <c r="BY29" s="4" t="s">
        <v>332</v>
      </c>
      <c r="BZ29" s="4" t="s">
        <v>332</v>
      </c>
      <c r="CA29" s="4" t="s">
        <v>332</v>
      </c>
      <c r="CB29" s="4" t="s">
        <v>333</v>
      </c>
      <c r="CC29" s="4" t="s">
        <v>332</v>
      </c>
      <c r="CD29" s="4" t="s">
        <v>332</v>
      </c>
      <c r="CE29" s="4" t="s">
        <v>333</v>
      </c>
      <c r="CF29" s="4" t="s">
        <v>333</v>
      </c>
      <c r="CK29" s="169" t="n">
        <v>43536.2916435185</v>
      </c>
      <c r="CL29" s="169" t="n">
        <v>43536.2916435185</v>
      </c>
      <c r="CQ29" s="4" t="n">
        <v>1402</v>
      </c>
      <c r="CR29" s="4" t="n">
        <v>1.3</v>
      </c>
      <c r="CS29" s="21" t="n">
        <v>6.9E-006</v>
      </c>
      <c r="CT29" s="4" t="n">
        <v>0.8284</v>
      </c>
      <c r="CU29" s="4" t="s">
        <v>334</v>
      </c>
      <c r="CV29" s="169" t="n">
        <v>45053</v>
      </c>
      <c r="CW29" s="4" t="s">
        <v>327</v>
      </c>
      <c r="CX29" s="4" t="s">
        <v>340</v>
      </c>
      <c r="CY29" s="4" t="n">
        <v>68</v>
      </c>
      <c r="CZ29" s="4" t="n">
        <v>45</v>
      </c>
      <c r="DB29" s="4" t="s">
        <v>341</v>
      </c>
      <c r="DC29" s="4" t="s">
        <v>391</v>
      </c>
      <c r="DD29" s="4" t="s">
        <v>360</v>
      </c>
      <c r="DF29" s="4" t="n">
        <v>0.243</v>
      </c>
      <c r="DG29" s="4" t="n">
        <v>1.504</v>
      </c>
      <c r="DH29" s="4" t="n">
        <v>71.375</v>
      </c>
      <c r="DI29" s="4" t="n">
        <v>12.064</v>
      </c>
      <c r="DJ29" s="4" t="n">
        <v>7.833</v>
      </c>
      <c r="DK29" s="4" t="n">
        <v>0.915</v>
      </c>
      <c r="DL29" s="4" t="n">
        <v>2.986</v>
      </c>
      <c r="DM29" s="4" t="n">
        <v>0.7</v>
      </c>
      <c r="DN29" s="4" t="n">
        <v>0.774</v>
      </c>
      <c r="DO29" s="4" t="n">
        <v>1.606</v>
      </c>
      <c r="EQ29" s="4" t="s">
        <v>335</v>
      </c>
      <c r="FR29" s="4" t="s">
        <v>369</v>
      </c>
    </row>
    <row r="30" customFormat="false" ht="15.75" hidden="false" customHeight="true" outlineLevel="0" collapsed="false">
      <c r="A30" s="169" t="n">
        <v>45047.375</v>
      </c>
      <c r="B30" s="169" t="n">
        <v>45078.375</v>
      </c>
      <c r="C30" s="4" t="s">
        <v>61</v>
      </c>
      <c r="D30" s="4" t="s">
        <v>392</v>
      </c>
      <c r="E30" s="4" t="n">
        <v>29648.04</v>
      </c>
      <c r="F30" s="4" t="n">
        <v>46488.12</v>
      </c>
      <c r="G30" s="4" t="n">
        <v>44.2714934698342</v>
      </c>
      <c r="I30" s="4" t="n">
        <v>77.2879731657529</v>
      </c>
      <c r="J30" s="4" t="n">
        <v>90.7630518904569</v>
      </c>
      <c r="K30" s="4" t="n">
        <v>42507.7666666667</v>
      </c>
      <c r="L30" s="4" t="n">
        <v>2.38746281298149</v>
      </c>
      <c r="N30" s="4" t="n">
        <v>1.01057493961843</v>
      </c>
      <c r="P30" s="4" t="s">
        <v>324</v>
      </c>
      <c r="Q30" s="4" t="s">
        <v>325</v>
      </c>
      <c r="T30" s="4" t="s">
        <v>326</v>
      </c>
      <c r="U30" s="4" t="s">
        <v>61</v>
      </c>
      <c r="V30" s="170" t="n">
        <v>44218</v>
      </c>
      <c r="W30" s="4" t="n">
        <v>1</v>
      </c>
      <c r="X30" s="4" t="n">
        <v>9</v>
      </c>
      <c r="AA30" s="4" t="n">
        <v>1.875</v>
      </c>
      <c r="AB30" s="4" t="n">
        <v>68</v>
      </c>
      <c r="AC30" s="4" t="s">
        <v>327</v>
      </c>
      <c r="AD30" s="4" t="n">
        <v>3.82599997520447</v>
      </c>
      <c r="AE30" s="4" t="n">
        <v>68</v>
      </c>
      <c r="AF30" s="4" t="s">
        <v>328</v>
      </c>
      <c r="AG30" s="4" t="s">
        <v>329</v>
      </c>
      <c r="AH30" s="4" t="s">
        <v>330</v>
      </c>
      <c r="AI30" s="4" t="s">
        <v>331</v>
      </c>
      <c r="AR30" s="4" t="s">
        <v>332</v>
      </c>
      <c r="AS30" s="4" t="s">
        <v>332</v>
      </c>
      <c r="AT30" s="4" t="s">
        <v>332</v>
      </c>
      <c r="AU30" s="4" t="s">
        <v>333</v>
      </c>
      <c r="AV30" s="4" t="n">
        <v>2047</v>
      </c>
      <c r="AW30" s="4" t="n">
        <v>0</v>
      </c>
      <c r="AX30" s="4" t="n">
        <v>250</v>
      </c>
      <c r="AY30" s="4" t="n">
        <v>0</v>
      </c>
      <c r="BB30" s="4" t="n">
        <v>2047.96875</v>
      </c>
      <c r="BC30" s="4" t="n">
        <v>0</v>
      </c>
      <c r="BD30" s="4" t="n">
        <v>1514.25854492187</v>
      </c>
      <c r="BE30" s="4" t="n">
        <v>14.2577276229858</v>
      </c>
      <c r="BH30" s="4" t="n">
        <v>420</v>
      </c>
      <c r="BI30" s="4" t="n">
        <v>0</v>
      </c>
      <c r="BN30" s="4" t="n">
        <v>0.5</v>
      </c>
      <c r="BO30" s="4" t="n">
        <v>-3</v>
      </c>
      <c r="BP30" s="4" t="n">
        <v>14.6499996185303</v>
      </c>
      <c r="BQ30" s="4" t="n">
        <v>60</v>
      </c>
      <c r="BR30" s="4" t="n">
        <v>13.1999998092651</v>
      </c>
      <c r="BV30" s="4" t="n">
        <v>1</v>
      </c>
      <c r="BW30" s="4" t="s">
        <v>334</v>
      </c>
      <c r="BX30" s="4" t="n">
        <v>60</v>
      </c>
      <c r="BY30" s="4" t="s">
        <v>332</v>
      </c>
      <c r="BZ30" s="4" t="s">
        <v>332</v>
      </c>
      <c r="CA30" s="4" t="s">
        <v>332</v>
      </c>
      <c r="CB30" s="4" t="s">
        <v>333</v>
      </c>
      <c r="CC30" s="4" t="s">
        <v>332</v>
      </c>
      <c r="CD30" s="4" t="s">
        <v>332</v>
      </c>
      <c r="CE30" s="4" t="s">
        <v>332</v>
      </c>
      <c r="CF30" s="4" t="s">
        <v>333</v>
      </c>
      <c r="CK30" s="169" t="n">
        <v>43531.5672222222</v>
      </c>
      <c r="CQ30" s="4" t="n">
        <v>1568</v>
      </c>
      <c r="CR30" s="4" t="n">
        <v>1.3</v>
      </c>
      <c r="CS30" s="21" t="n">
        <v>6.9E-006</v>
      </c>
      <c r="CT30" s="4" t="n">
        <v>0.9333</v>
      </c>
      <c r="CU30" s="4" t="s">
        <v>334</v>
      </c>
      <c r="CV30" s="169" t="n">
        <v>45070</v>
      </c>
      <c r="CW30" s="4" t="s">
        <v>328</v>
      </c>
      <c r="CX30" s="4" t="s">
        <v>393</v>
      </c>
      <c r="CY30" s="4" t="n">
        <v>82</v>
      </c>
      <c r="CZ30" s="4" t="n">
        <v>100</v>
      </c>
      <c r="DB30" s="4" t="s">
        <v>386</v>
      </c>
      <c r="DC30" s="4" t="s">
        <v>394</v>
      </c>
      <c r="DD30" s="4" t="s">
        <v>355</v>
      </c>
      <c r="DF30" s="4" t="n">
        <v>0.325</v>
      </c>
      <c r="DG30" s="4" t="n">
        <v>1.172</v>
      </c>
      <c r="DH30" s="4" t="n">
        <v>64.336</v>
      </c>
      <c r="DI30" s="4" t="n">
        <v>12.553</v>
      </c>
      <c r="DJ30" s="4" t="n">
        <v>9.966</v>
      </c>
      <c r="DK30" s="4" t="n">
        <v>1.453</v>
      </c>
      <c r="DL30" s="4" t="n">
        <v>5.08</v>
      </c>
      <c r="DM30" s="4" t="n">
        <v>1.357</v>
      </c>
      <c r="DN30" s="4" t="n">
        <v>1.744</v>
      </c>
      <c r="DO30" s="4" t="n">
        <v>2.014</v>
      </c>
      <c r="EQ30" s="4" t="s">
        <v>335</v>
      </c>
      <c r="FR30" s="4" t="s">
        <v>395</v>
      </c>
    </row>
    <row r="31" customFormat="false" ht="15.75" hidden="false" customHeight="true" outlineLevel="0" collapsed="false">
      <c r="A31" s="169" t="n">
        <v>45047.375</v>
      </c>
      <c r="B31" s="169" t="n">
        <v>45078.375</v>
      </c>
      <c r="C31" s="4" t="s">
        <v>9</v>
      </c>
      <c r="D31" s="4" t="s">
        <v>396</v>
      </c>
      <c r="E31" s="4" t="n">
        <v>786056.19</v>
      </c>
      <c r="F31" s="4" t="n">
        <v>1024231.22</v>
      </c>
      <c r="G31" s="4" t="n">
        <v>86.3689766475888</v>
      </c>
      <c r="I31" s="4" t="n">
        <v>92.4391822175048</v>
      </c>
      <c r="J31" s="4" t="n">
        <v>93.1365001657748</v>
      </c>
      <c r="K31" s="4" t="n">
        <v>44572.5</v>
      </c>
      <c r="L31" s="4" t="n">
        <v>3.77796298712122</v>
      </c>
      <c r="N31" s="4" t="n">
        <v>1.00811386170555</v>
      </c>
      <c r="P31" s="4" t="s">
        <v>324</v>
      </c>
      <c r="Q31" s="4" t="s">
        <v>325</v>
      </c>
      <c r="T31" s="4" t="s">
        <v>326</v>
      </c>
      <c r="U31" s="4" t="s">
        <v>9</v>
      </c>
      <c r="V31" s="170" t="n">
        <v>44468</v>
      </c>
      <c r="W31" s="4" t="n">
        <v>1</v>
      </c>
      <c r="X31" s="4" t="n">
        <v>9</v>
      </c>
      <c r="AA31" s="4" t="n">
        <v>6.75</v>
      </c>
      <c r="AB31" s="4" t="n">
        <v>68</v>
      </c>
      <c r="AC31" s="4" t="s">
        <v>327</v>
      </c>
      <c r="AD31" s="4" t="n">
        <v>9.56599998474121</v>
      </c>
      <c r="AE31" s="4" t="n">
        <v>68</v>
      </c>
      <c r="AF31" s="4" t="s">
        <v>328</v>
      </c>
      <c r="AG31" s="4" t="s">
        <v>329</v>
      </c>
      <c r="AH31" s="4" t="s">
        <v>330</v>
      </c>
      <c r="AI31" s="4" t="s">
        <v>331</v>
      </c>
      <c r="AR31" s="4" t="s">
        <v>332</v>
      </c>
      <c r="AS31" s="4" t="s">
        <v>332</v>
      </c>
      <c r="AT31" s="4" t="s">
        <v>332</v>
      </c>
      <c r="AU31" s="4" t="s">
        <v>333</v>
      </c>
      <c r="AV31" s="4" t="n">
        <v>2047</v>
      </c>
      <c r="AW31" s="4" t="n">
        <v>0</v>
      </c>
      <c r="AX31" s="4" t="n">
        <v>249.999771118164</v>
      </c>
      <c r="AY31" s="4" t="n">
        <v>-0.000796078180428594</v>
      </c>
      <c r="BB31" s="4" t="n">
        <v>2047.96875</v>
      </c>
      <c r="BC31" s="4" t="n">
        <v>0</v>
      </c>
      <c r="BD31" s="4" t="n">
        <v>1513.19995117187</v>
      </c>
      <c r="BE31" s="4" t="n">
        <v>13.1999998092651</v>
      </c>
      <c r="BH31" s="4" t="n">
        <v>420</v>
      </c>
      <c r="BI31" s="4" t="n">
        <v>0</v>
      </c>
      <c r="BN31" s="4" t="n">
        <v>0.5</v>
      </c>
      <c r="BO31" s="4" t="n">
        <v>-3</v>
      </c>
      <c r="BP31" s="4" t="n">
        <v>14.6499996185303</v>
      </c>
      <c r="BQ31" s="4" t="n">
        <v>60</v>
      </c>
      <c r="BR31" s="4" t="n">
        <v>13.1999998092651</v>
      </c>
      <c r="BV31" s="4" t="n">
        <v>1</v>
      </c>
      <c r="BW31" s="4" t="s">
        <v>334</v>
      </c>
      <c r="BX31" s="4" t="n">
        <v>60</v>
      </c>
      <c r="BY31" s="4" t="s">
        <v>332</v>
      </c>
      <c r="BZ31" s="4" t="s">
        <v>332</v>
      </c>
      <c r="CA31" s="4" t="s">
        <v>332</v>
      </c>
      <c r="CB31" s="4" t="s">
        <v>333</v>
      </c>
      <c r="CC31" s="4" t="s">
        <v>332</v>
      </c>
      <c r="CD31" s="4" t="s">
        <v>332</v>
      </c>
      <c r="CE31" s="4" t="s">
        <v>332</v>
      </c>
      <c r="CF31" s="4" t="s">
        <v>333</v>
      </c>
      <c r="CK31" s="169" t="n">
        <v>43531.5672222222</v>
      </c>
      <c r="CQ31" s="4" t="n">
        <v>1303</v>
      </c>
      <c r="CR31" s="4" t="n">
        <v>1.3</v>
      </c>
      <c r="CS31" s="21" t="n">
        <v>6.9E-006</v>
      </c>
      <c r="CT31" s="4" t="n">
        <v>0.7549</v>
      </c>
      <c r="CU31" s="4" t="s">
        <v>334</v>
      </c>
      <c r="CV31" s="169" t="n">
        <v>45065</v>
      </c>
      <c r="CW31" s="4" t="s">
        <v>328</v>
      </c>
      <c r="CX31" s="4" t="s">
        <v>350</v>
      </c>
      <c r="CY31" s="4" t="n">
        <v>97</v>
      </c>
      <c r="CZ31" s="4" t="n">
        <v>35</v>
      </c>
      <c r="DB31" s="4" t="s">
        <v>363</v>
      </c>
      <c r="DC31" s="4" t="s">
        <v>397</v>
      </c>
      <c r="DD31" s="4" t="s">
        <v>365</v>
      </c>
      <c r="DF31" s="4" t="n">
        <v>0.166</v>
      </c>
      <c r="DG31" s="4" t="n">
        <v>0.738</v>
      </c>
      <c r="DH31" s="4" t="n">
        <v>78.221</v>
      </c>
      <c r="DI31" s="4" t="n">
        <v>11.027</v>
      </c>
      <c r="DJ31" s="4" t="n">
        <v>4.899</v>
      </c>
      <c r="DK31" s="4" t="n">
        <v>0.811</v>
      </c>
      <c r="DL31" s="4" t="n">
        <v>1.773</v>
      </c>
      <c r="DM31" s="4" t="n">
        <v>0.5</v>
      </c>
      <c r="DN31" s="4" t="n">
        <v>0.572</v>
      </c>
      <c r="DO31" s="4" t="n">
        <v>1.293</v>
      </c>
      <c r="EQ31" s="4" t="s">
        <v>335</v>
      </c>
      <c r="FR31" s="4" t="s">
        <v>395</v>
      </c>
    </row>
    <row r="32" customFormat="false" ht="15.75" hidden="false" customHeight="true" outlineLevel="0" collapsed="false">
      <c r="A32" s="169" t="n">
        <v>45047.375</v>
      </c>
      <c r="B32" s="169" t="n">
        <v>45078.375</v>
      </c>
      <c r="C32" s="4" t="s">
        <v>63</v>
      </c>
      <c r="D32" s="4" t="s">
        <v>398</v>
      </c>
      <c r="E32" s="4" t="n">
        <v>0</v>
      </c>
      <c r="F32" s="4" t="n">
        <v>0</v>
      </c>
      <c r="G32" s="4" t="n">
        <v>0</v>
      </c>
      <c r="I32" s="4" t="n">
        <v>47.3303692212669</v>
      </c>
      <c r="J32" s="4" t="n">
        <v>82.1364990203612</v>
      </c>
      <c r="K32" s="4" t="n">
        <v>0</v>
      </c>
      <c r="L32" s="4" t="n">
        <v>0</v>
      </c>
      <c r="N32" s="4" t="n">
        <v>1.00344120511859</v>
      </c>
      <c r="P32" s="4" t="s">
        <v>324</v>
      </c>
      <c r="Q32" s="4" t="s">
        <v>325</v>
      </c>
      <c r="T32" s="4" t="s">
        <v>326</v>
      </c>
      <c r="U32" s="4" t="s">
        <v>63</v>
      </c>
      <c r="V32" s="170" t="n">
        <v>44732</v>
      </c>
      <c r="W32" s="4" t="n">
        <v>1</v>
      </c>
      <c r="X32" s="4" t="n">
        <v>9</v>
      </c>
      <c r="AA32" s="4" t="n">
        <v>3.75</v>
      </c>
      <c r="AB32" s="4" t="n">
        <v>68</v>
      </c>
      <c r="AC32" s="4" t="s">
        <v>327</v>
      </c>
      <c r="AD32" s="4" t="n">
        <v>6.06500005722046</v>
      </c>
      <c r="AE32" s="4" t="n">
        <v>68</v>
      </c>
      <c r="AF32" s="4" t="s">
        <v>328</v>
      </c>
      <c r="AG32" s="4" t="s">
        <v>329</v>
      </c>
      <c r="AH32" s="4" t="s">
        <v>330</v>
      </c>
      <c r="AI32" s="4" t="s">
        <v>331</v>
      </c>
      <c r="AR32" s="4" t="s">
        <v>332</v>
      </c>
      <c r="AS32" s="4" t="s">
        <v>332</v>
      </c>
      <c r="AT32" s="4" t="s">
        <v>332</v>
      </c>
      <c r="AU32" s="4" t="s">
        <v>333</v>
      </c>
      <c r="AV32" s="4" t="n">
        <v>2047</v>
      </c>
      <c r="AW32" s="4" t="n">
        <v>0</v>
      </c>
      <c r="AX32" s="4" t="n">
        <v>400</v>
      </c>
      <c r="AY32" s="4" t="n">
        <v>0</v>
      </c>
      <c r="BB32" s="4" t="n">
        <v>2047</v>
      </c>
      <c r="BC32" s="4" t="n">
        <v>0</v>
      </c>
      <c r="BD32" s="4" t="n">
        <v>513.200012207031</v>
      </c>
      <c r="BE32" s="4" t="n">
        <v>13.1999998092651</v>
      </c>
      <c r="BH32" s="4" t="n">
        <v>420</v>
      </c>
      <c r="BI32" s="4" t="n">
        <v>0</v>
      </c>
      <c r="BN32" s="4" t="n">
        <v>0.5</v>
      </c>
      <c r="BO32" s="4" t="n">
        <v>-3</v>
      </c>
      <c r="BP32" s="4" t="n">
        <v>14.6499996185303</v>
      </c>
      <c r="BQ32" s="4" t="n">
        <v>60</v>
      </c>
      <c r="BR32" s="4" t="n">
        <v>13.1999998092651</v>
      </c>
      <c r="BV32" s="4" t="s">
        <v>333</v>
      </c>
      <c r="BW32" s="4" t="s">
        <v>334</v>
      </c>
      <c r="BX32" s="4" t="n">
        <v>60</v>
      </c>
      <c r="BY32" s="4" t="s">
        <v>332</v>
      </c>
      <c r="BZ32" s="4" t="s">
        <v>332</v>
      </c>
      <c r="CA32" s="4" t="s">
        <v>332</v>
      </c>
      <c r="CB32" s="4" t="s">
        <v>333</v>
      </c>
      <c r="CC32" s="4" t="s">
        <v>332</v>
      </c>
      <c r="CD32" s="4" t="s">
        <v>332</v>
      </c>
      <c r="CE32" s="4" t="s">
        <v>332</v>
      </c>
      <c r="CF32" s="4" t="s">
        <v>333</v>
      </c>
      <c r="CK32" s="169" t="n">
        <v>44981.5744328704</v>
      </c>
      <c r="CL32" s="169" t="n">
        <v>44981.5744328704</v>
      </c>
      <c r="CQ32" s="4" t="n">
        <v>1285</v>
      </c>
      <c r="CR32" s="4" t="n">
        <v>1.3</v>
      </c>
      <c r="CS32" s="21" t="n">
        <v>6.9E-006</v>
      </c>
      <c r="CT32" s="4" t="n">
        <v>0.7433</v>
      </c>
      <c r="CU32" s="4" t="s">
        <v>334</v>
      </c>
      <c r="CV32" s="169" t="n">
        <v>45071</v>
      </c>
      <c r="CW32" s="4" t="s">
        <v>328</v>
      </c>
      <c r="CX32" s="4" t="s">
        <v>340</v>
      </c>
      <c r="CY32" s="4" t="n">
        <v>88</v>
      </c>
      <c r="CZ32" s="4" t="n">
        <v>30</v>
      </c>
      <c r="DB32" s="4" t="s">
        <v>363</v>
      </c>
      <c r="DC32" s="4" t="s">
        <v>399</v>
      </c>
      <c r="DD32" s="4" t="s">
        <v>365</v>
      </c>
      <c r="DF32" s="4" t="n">
        <v>0.101</v>
      </c>
      <c r="DG32" s="4" t="n">
        <v>0.827000000000001</v>
      </c>
      <c r="DH32" s="4" t="n">
        <v>78.631</v>
      </c>
      <c r="DI32" s="4" t="n">
        <v>11.052</v>
      </c>
      <c r="DJ32" s="4" t="n">
        <v>4.952</v>
      </c>
      <c r="DK32" s="4" t="n">
        <v>0.774000000000001</v>
      </c>
      <c r="DL32" s="4" t="n">
        <v>1.717</v>
      </c>
      <c r="DM32" s="4" t="n">
        <v>0.462</v>
      </c>
      <c r="DN32" s="4" t="n">
        <v>0.514</v>
      </c>
      <c r="DO32" s="4" t="n">
        <v>0.969999999999999</v>
      </c>
      <c r="EQ32" s="4" t="s">
        <v>335</v>
      </c>
      <c r="FR32" s="4" t="s">
        <v>400</v>
      </c>
    </row>
    <row r="33" customFormat="false" ht="15.75" hidden="false" customHeight="true" outlineLevel="0" collapsed="false">
      <c r="A33" s="169" t="n">
        <v>45047.375</v>
      </c>
      <c r="B33" s="169" t="n">
        <v>45078.375</v>
      </c>
      <c r="C33" s="4" t="s">
        <v>64</v>
      </c>
      <c r="D33" s="4" t="s">
        <v>401</v>
      </c>
      <c r="E33" s="4" t="n">
        <v>325254.55</v>
      </c>
      <c r="F33" s="4" t="n">
        <v>417952.1</v>
      </c>
      <c r="G33" s="4" t="n">
        <v>131.170909534973</v>
      </c>
      <c r="I33" s="4" t="n">
        <v>76.9074506929402</v>
      </c>
      <c r="J33" s="4" t="n">
        <v>87.6471195839257</v>
      </c>
      <c r="K33" s="4" t="n">
        <v>36566.6</v>
      </c>
      <c r="L33" s="4" t="n">
        <v>4.21697319688756</v>
      </c>
      <c r="N33" s="4" t="n">
        <v>1.00651513812929</v>
      </c>
      <c r="P33" s="4" t="s">
        <v>324</v>
      </c>
      <c r="Q33" s="4" t="s">
        <v>325</v>
      </c>
      <c r="T33" s="4" t="s">
        <v>326</v>
      </c>
      <c r="U33" s="4" t="s">
        <v>64</v>
      </c>
      <c r="V33" s="170" t="n">
        <v>44635</v>
      </c>
      <c r="W33" s="4" t="n">
        <v>1</v>
      </c>
      <c r="X33" s="4" t="n">
        <v>9</v>
      </c>
      <c r="AA33" s="4" t="n">
        <v>4.75</v>
      </c>
      <c r="AB33" s="4" t="n">
        <v>68</v>
      </c>
      <c r="AC33" s="4" t="s">
        <v>327</v>
      </c>
      <c r="AD33" s="4" t="n">
        <v>7.98099994659424</v>
      </c>
      <c r="AE33" s="4" t="n">
        <v>68</v>
      </c>
      <c r="AF33" s="4" t="s">
        <v>328</v>
      </c>
      <c r="AG33" s="4" t="s">
        <v>329</v>
      </c>
      <c r="AH33" s="4" t="s">
        <v>330</v>
      </c>
      <c r="AI33" s="4" t="s">
        <v>331</v>
      </c>
      <c r="AR33" s="4" t="s">
        <v>332</v>
      </c>
      <c r="AS33" s="4" t="s">
        <v>332</v>
      </c>
      <c r="AT33" s="4" t="s">
        <v>332</v>
      </c>
      <c r="AU33" s="4" t="s">
        <v>333</v>
      </c>
      <c r="AV33" s="4" t="n">
        <v>2047</v>
      </c>
      <c r="AW33" s="4" t="n">
        <v>0</v>
      </c>
      <c r="AX33" s="4" t="n">
        <v>100</v>
      </c>
      <c r="AY33" s="4" t="n">
        <v>0</v>
      </c>
      <c r="BB33" s="4" t="n">
        <v>2047.96875</v>
      </c>
      <c r="BC33" s="4" t="n">
        <v>0</v>
      </c>
      <c r="BD33" s="4" t="n">
        <v>513.200012207031</v>
      </c>
      <c r="BE33" s="4" t="n">
        <v>13.1999998092651</v>
      </c>
      <c r="BH33" s="4" t="n">
        <v>420</v>
      </c>
      <c r="BI33" s="4" t="n">
        <v>0</v>
      </c>
      <c r="BN33" s="4" t="n">
        <v>0.5</v>
      </c>
      <c r="BO33" s="4" t="n">
        <v>-3</v>
      </c>
      <c r="BP33" s="4" t="n">
        <v>14.6499996185303</v>
      </c>
      <c r="BQ33" s="4" t="n">
        <v>60</v>
      </c>
      <c r="BR33" s="4" t="n">
        <v>13.1999998092651</v>
      </c>
      <c r="BV33" s="4" t="s">
        <v>333</v>
      </c>
      <c r="BW33" s="4" t="s">
        <v>334</v>
      </c>
      <c r="BX33" s="4" t="n">
        <v>60</v>
      </c>
      <c r="BY33" s="4" t="s">
        <v>332</v>
      </c>
      <c r="BZ33" s="4" t="s">
        <v>332</v>
      </c>
      <c r="CA33" s="4" t="s">
        <v>332</v>
      </c>
      <c r="CB33" s="4" t="s">
        <v>333</v>
      </c>
      <c r="CC33" s="4" t="s">
        <v>332</v>
      </c>
      <c r="CD33" s="4" t="s">
        <v>332</v>
      </c>
      <c r="CE33" s="4" t="s">
        <v>332</v>
      </c>
      <c r="CF33" s="4" t="s">
        <v>333</v>
      </c>
      <c r="CK33" s="169" t="n">
        <v>44981.5744328704</v>
      </c>
      <c r="CL33" s="169" t="n">
        <v>44981.5744328704</v>
      </c>
      <c r="CQ33" s="4" t="n">
        <v>1285</v>
      </c>
      <c r="CR33" s="4" t="n">
        <v>1.3</v>
      </c>
      <c r="CS33" s="21" t="n">
        <v>6.9E-006</v>
      </c>
      <c r="CT33" s="4" t="n">
        <v>0.7433</v>
      </c>
      <c r="CU33" s="4" t="s">
        <v>334</v>
      </c>
      <c r="CV33" s="169" t="n">
        <v>45071</v>
      </c>
      <c r="CW33" s="4" t="s">
        <v>328</v>
      </c>
      <c r="CX33" s="4" t="s">
        <v>340</v>
      </c>
      <c r="CY33" s="4" t="n">
        <v>88</v>
      </c>
      <c r="CZ33" s="4" t="n">
        <v>30</v>
      </c>
      <c r="DB33" s="4" t="s">
        <v>363</v>
      </c>
      <c r="DC33" s="4" t="s">
        <v>399</v>
      </c>
      <c r="DD33" s="4" t="s">
        <v>365</v>
      </c>
      <c r="DF33" s="4" t="n">
        <v>0.101</v>
      </c>
      <c r="DG33" s="4" t="n">
        <v>0.827</v>
      </c>
      <c r="DH33" s="4" t="n">
        <v>78.631</v>
      </c>
      <c r="DI33" s="4" t="n">
        <v>11.052</v>
      </c>
      <c r="DJ33" s="4" t="n">
        <v>4.952</v>
      </c>
      <c r="DK33" s="4" t="n">
        <v>0.774</v>
      </c>
      <c r="DL33" s="4" t="n">
        <v>1.717</v>
      </c>
      <c r="DM33" s="4" t="n">
        <v>0.462</v>
      </c>
      <c r="DN33" s="4" t="n">
        <v>0.514</v>
      </c>
      <c r="DO33" s="4" t="n">
        <v>0.97</v>
      </c>
      <c r="EQ33" s="4" t="s">
        <v>335</v>
      </c>
      <c r="FR33" s="4" t="s">
        <v>400</v>
      </c>
    </row>
    <row r="34" customFormat="false" ht="15.75" hidden="false" customHeight="true" outlineLevel="0" collapsed="false">
      <c r="A34" s="169" t="n">
        <v>45047.375</v>
      </c>
      <c r="B34" s="169" t="n">
        <v>45078.375</v>
      </c>
      <c r="C34" s="4" t="s">
        <v>65</v>
      </c>
      <c r="D34" s="4" t="s">
        <v>402</v>
      </c>
      <c r="E34" s="4" t="n">
        <v>166498.74</v>
      </c>
      <c r="F34" s="4" t="n">
        <v>223957.45</v>
      </c>
      <c r="G34" s="4" t="n">
        <v>235.962072403791</v>
      </c>
      <c r="I34" s="4" t="n">
        <v>80.3037823893195</v>
      </c>
      <c r="J34" s="4" t="n">
        <v>95.1078334775595</v>
      </c>
      <c r="K34" s="4" t="n">
        <v>43907.35</v>
      </c>
      <c r="L34" s="4" t="n">
        <v>5.80044019124643</v>
      </c>
      <c r="N34" s="4" t="n">
        <v>1.00736221637493</v>
      </c>
      <c r="P34" s="4" t="s">
        <v>324</v>
      </c>
      <c r="Q34" s="4" t="s">
        <v>325</v>
      </c>
      <c r="T34" s="4" t="s">
        <v>326</v>
      </c>
      <c r="U34" s="4" t="s">
        <v>65</v>
      </c>
      <c r="V34" s="170" t="n">
        <v>44883</v>
      </c>
      <c r="W34" s="4" t="n">
        <v>1</v>
      </c>
      <c r="X34" s="4" t="n">
        <v>9</v>
      </c>
      <c r="AA34" s="4" t="n">
        <v>2.75</v>
      </c>
      <c r="AB34" s="4" t="n">
        <v>68</v>
      </c>
      <c r="AC34" s="4" t="s">
        <v>327</v>
      </c>
      <c r="AD34" s="4" t="n">
        <v>5.76100015640259</v>
      </c>
      <c r="AE34" s="4" t="n">
        <v>68</v>
      </c>
      <c r="AF34" s="4" t="s">
        <v>328</v>
      </c>
      <c r="AG34" s="4" t="s">
        <v>329</v>
      </c>
      <c r="AH34" s="4" t="s">
        <v>330</v>
      </c>
      <c r="AI34" s="4" t="s">
        <v>331</v>
      </c>
      <c r="AR34" s="4" t="s">
        <v>332</v>
      </c>
      <c r="AS34" s="4" t="s">
        <v>332</v>
      </c>
      <c r="AT34" s="4" t="s">
        <v>332</v>
      </c>
      <c r="AU34" s="4" t="s">
        <v>333</v>
      </c>
      <c r="AV34" s="4" t="n">
        <v>2047</v>
      </c>
      <c r="AW34" s="4" t="n">
        <v>0</v>
      </c>
      <c r="AX34" s="4" t="n">
        <v>400</v>
      </c>
      <c r="AY34" s="4" t="n">
        <v>0</v>
      </c>
      <c r="BB34" s="4" t="n">
        <v>2047</v>
      </c>
      <c r="BC34" s="4" t="n">
        <v>0</v>
      </c>
      <c r="BD34" s="4" t="n">
        <v>1513.19995117187</v>
      </c>
      <c r="BE34" s="4" t="n">
        <v>13.1999998092651</v>
      </c>
      <c r="BH34" s="4" t="n">
        <v>420</v>
      </c>
      <c r="BI34" s="4" t="n">
        <v>0</v>
      </c>
      <c r="BN34" s="4" t="n">
        <v>0.5</v>
      </c>
      <c r="BO34" s="4" t="n">
        <v>-3</v>
      </c>
      <c r="BP34" s="4" t="n">
        <v>14.6499996185303</v>
      </c>
      <c r="BQ34" s="4" t="n">
        <v>60</v>
      </c>
      <c r="BR34" s="4" t="n">
        <v>13.1999998092651</v>
      </c>
      <c r="BV34" s="4" t="s">
        <v>333</v>
      </c>
      <c r="BW34" s="4" t="s">
        <v>334</v>
      </c>
      <c r="BX34" s="4" t="n">
        <v>74</v>
      </c>
      <c r="BY34" s="4" t="s">
        <v>332</v>
      </c>
      <c r="BZ34" s="4" t="s">
        <v>332</v>
      </c>
      <c r="CA34" s="4" t="s">
        <v>332</v>
      </c>
      <c r="CB34" s="4" t="s">
        <v>333</v>
      </c>
      <c r="CC34" s="4" t="s">
        <v>332</v>
      </c>
      <c r="CD34" s="4" t="s">
        <v>332</v>
      </c>
      <c r="CE34" s="4" t="s">
        <v>332</v>
      </c>
      <c r="CF34" s="4" t="s">
        <v>333</v>
      </c>
      <c r="CK34" s="169" t="n">
        <v>45042.4547800926</v>
      </c>
      <c r="CL34" s="169" t="n">
        <v>45042.4547800926</v>
      </c>
      <c r="CQ34" s="4" t="n">
        <v>1345.1</v>
      </c>
      <c r="CR34" s="4" t="n">
        <v>1.3</v>
      </c>
      <c r="CS34" s="21" t="n">
        <v>6.9E-006</v>
      </c>
      <c r="CT34" s="4" t="n">
        <v>0.7877</v>
      </c>
      <c r="CU34" s="4" t="s">
        <v>334</v>
      </c>
      <c r="CV34" s="169" t="n">
        <v>45070</v>
      </c>
      <c r="CW34" s="4" t="s">
        <v>328</v>
      </c>
      <c r="CX34" s="4" t="s">
        <v>340</v>
      </c>
      <c r="CY34" s="4" t="n">
        <v>95</v>
      </c>
      <c r="CZ34" s="4" t="n">
        <v>100</v>
      </c>
      <c r="DB34" s="4" t="s">
        <v>363</v>
      </c>
      <c r="DC34" s="4" t="s">
        <v>403</v>
      </c>
      <c r="DD34" s="4" t="s">
        <v>365</v>
      </c>
      <c r="DF34" s="4" t="n">
        <v>0.223</v>
      </c>
      <c r="DG34" s="4" t="n">
        <v>1.091</v>
      </c>
      <c r="DH34" s="4" t="n">
        <v>74.099</v>
      </c>
      <c r="DI34" s="4" t="n">
        <v>12.49</v>
      </c>
      <c r="DJ34" s="4" t="n">
        <v>6.532</v>
      </c>
      <c r="DK34" s="4" t="n">
        <v>0.929</v>
      </c>
      <c r="DL34" s="4" t="n">
        <v>2.237</v>
      </c>
      <c r="DM34" s="4" t="n">
        <v>0.568</v>
      </c>
      <c r="DN34" s="4" t="n">
        <v>0.64</v>
      </c>
      <c r="DO34" s="4" t="n">
        <v>0.418</v>
      </c>
      <c r="DQ34" s="4" t="n">
        <v>0.484</v>
      </c>
      <c r="DR34" s="4" t="n">
        <v>0.256</v>
      </c>
      <c r="DS34" s="4" t="n">
        <v>0.033</v>
      </c>
      <c r="DT34" s="4" t="n">
        <v>0</v>
      </c>
      <c r="EQ34" s="4" t="s">
        <v>335</v>
      </c>
      <c r="FR34" s="4" t="s">
        <v>404</v>
      </c>
    </row>
    <row r="35" customFormat="false" ht="15.75" hidden="false" customHeight="true" outlineLevel="0" collapsed="false">
      <c r="A35" s="169" t="n">
        <v>45047.375</v>
      </c>
      <c r="B35" s="169" t="n">
        <v>45078.375</v>
      </c>
      <c r="C35" s="4" t="s">
        <v>66</v>
      </c>
      <c r="D35" s="4" t="s">
        <v>405</v>
      </c>
      <c r="E35" s="4" t="n">
        <v>397018.39</v>
      </c>
      <c r="F35" s="4" t="n">
        <v>508977.57</v>
      </c>
      <c r="G35" s="4" t="n">
        <v>271.934869735289</v>
      </c>
      <c r="I35" s="4" t="n">
        <v>79.5285223220425</v>
      </c>
      <c r="J35" s="4" t="n">
        <v>87.8186506354005</v>
      </c>
      <c r="K35" s="4" t="n">
        <v>44367.8166666667</v>
      </c>
      <c r="L35" s="4" t="n">
        <v>6.22966841608544</v>
      </c>
      <c r="N35" s="4" t="n">
        <v>1.0067583971533</v>
      </c>
      <c r="P35" s="4" t="s">
        <v>324</v>
      </c>
      <c r="Q35" s="4" t="s">
        <v>325</v>
      </c>
      <c r="T35" s="4" t="s">
        <v>326</v>
      </c>
      <c r="U35" s="4" t="s">
        <v>66</v>
      </c>
      <c r="V35" s="170" t="n">
        <v>43770</v>
      </c>
      <c r="W35" s="4" t="n">
        <v>1</v>
      </c>
      <c r="X35" s="4" t="n">
        <v>9</v>
      </c>
      <c r="AA35" s="4" t="n">
        <v>3.875</v>
      </c>
      <c r="AB35" s="4" t="n">
        <v>68</v>
      </c>
      <c r="AC35" s="4" t="s">
        <v>327</v>
      </c>
      <c r="AD35" s="4" t="n">
        <v>6.06500005722046</v>
      </c>
      <c r="AE35" s="4" t="n">
        <v>68</v>
      </c>
      <c r="AF35" s="4" t="s">
        <v>328</v>
      </c>
      <c r="AG35" s="4" t="s">
        <v>329</v>
      </c>
      <c r="AH35" s="4" t="s">
        <v>330</v>
      </c>
      <c r="AI35" s="4" t="s">
        <v>331</v>
      </c>
      <c r="AR35" s="4" t="s">
        <v>332</v>
      </c>
      <c r="AS35" s="4" t="s">
        <v>332</v>
      </c>
      <c r="AT35" s="4" t="s">
        <v>332</v>
      </c>
      <c r="AU35" s="4" t="s">
        <v>333</v>
      </c>
      <c r="AV35" s="4" t="n">
        <v>2047</v>
      </c>
      <c r="AW35" s="4" t="n">
        <v>0</v>
      </c>
      <c r="AX35" s="4" t="n">
        <v>400</v>
      </c>
      <c r="AY35" s="4" t="n">
        <v>0</v>
      </c>
      <c r="BB35" s="4" t="n">
        <v>2047.96875</v>
      </c>
      <c r="BC35" s="4" t="n">
        <v>0</v>
      </c>
      <c r="BD35" s="4" t="n">
        <v>514.72998046875</v>
      </c>
      <c r="BE35" s="4" t="n">
        <v>14.7299995422363</v>
      </c>
      <c r="BH35" s="4" t="n">
        <v>420</v>
      </c>
      <c r="BI35" s="4" t="n">
        <v>0</v>
      </c>
      <c r="BN35" s="4" t="n">
        <v>0.5</v>
      </c>
      <c r="BO35" s="4" t="n">
        <v>-3</v>
      </c>
      <c r="BP35" s="4" t="n">
        <v>14.6499996185303</v>
      </c>
      <c r="BQ35" s="4" t="n">
        <v>60</v>
      </c>
      <c r="BR35" s="4" t="n">
        <v>13.1999998092651</v>
      </c>
      <c r="BV35" s="4" t="s">
        <v>333</v>
      </c>
      <c r="BW35" s="4" t="s">
        <v>334</v>
      </c>
      <c r="BX35" s="4" t="n">
        <v>60</v>
      </c>
      <c r="BY35" s="4" t="s">
        <v>332</v>
      </c>
      <c r="BZ35" s="4" t="s">
        <v>332</v>
      </c>
      <c r="CA35" s="4" t="s">
        <v>332</v>
      </c>
      <c r="CB35" s="4" t="s">
        <v>333</v>
      </c>
      <c r="CC35" s="4" t="s">
        <v>332</v>
      </c>
      <c r="CD35" s="4" t="s">
        <v>332</v>
      </c>
      <c r="CE35" s="4" t="s">
        <v>332</v>
      </c>
      <c r="CF35" s="4" t="s">
        <v>333</v>
      </c>
      <c r="CK35" s="169" t="n">
        <v>45042.4547800926</v>
      </c>
      <c r="CL35" s="169" t="n">
        <v>45042.4547800926</v>
      </c>
      <c r="CQ35" s="4" t="n">
        <v>1282</v>
      </c>
      <c r="CR35" s="4" t="n">
        <v>1.3</v>
      </c>
      <c r="CS35" s="21" t="n">
        <v>6.9E-006</v>
      </c>
      <c r="CT35" s="4" t="n">
        <v>0.7417</v>
      </c>
      <c r="CU35" s="4" t="s">
        <v>334</v>
      </c>
      <c r="CV35" s="169" t="n">
        <v>45070</v>
      </c>
      <c r="CW35" s="4" t="s">
        <v>328</v>
      </c>
      <c r="CX35" s="4" t="s">
        <v>350</v>
      </c>
      <c r="CY35" s="4" t="n">
        <v>90</v>
      </c>
      <c r="CZ35" s="4" t="n">
        <v>100</v>
      </c>
      <c r="DB35" s="4" t="s">
        <v>363</v>
      </c>
      <c r="DC35" s="4" t="s">
        <v>406</v>
      </c>
      <c r="DD35" s="4" t="s">
        <v>365</v>
      </c>
      <c r="DF35" s="4" t="n">
        <v>0.149</v>
      </c>
      <c r="DG35" s="4" t="n">
        <v>0.795</v>
      </c>
      <c r="DH35" s="4" t="n">
        <v>78.823</v>
      </c>
      <c r="DI35" s="4" t="n">
        <v>11.069</v>
      </c>
      <c r="DJ35" s="4" t="n">
        <v>4.789</v>
      </c>
      <c r="DK35" s="4" t="n">
        <v>0.759</v>
      </c>
      <c r="DL35" s="4" t="n">
        <v>1.644</v>
      </c>
      <c r="DM35" s="4" t="n">
        <v>0.446</v>
      </c>
      <c r="DN35" s="4" t="n">
        <v>0.499</v>
      </c>
      <c r="DO35" s="4" t="n">
        <v>1.027</v>
      </c>
      <c r="EQ35" s="4" t="s">
        <v>335</v>
      </c>
      <c r="FR35" s="4" t="s">
        <v>404</v>
      </c>
    </row>
    <row r="36" customFormat="false" ht="15.75" hidden="false" customHeight="true" outlineLevel="0" collapsed="false">
      <c r="A36" s="169" t="n">
        <v>45047.375</v>
      </c>
      <c r="B36" s="169" t="n">
        <v>45078.375</v>
      </c>
      <c r="C36" s="4" t="s">
        <v>67</v>
      </c>
      <c r="D36" s="4" t="s">
        <v>407</v>
      </c>
      <c r="E36" s="4" t="n">
        <v>287535.81</v>
      </c>
      <c r="F36" s="4" t="n">
        <v>366895.69</v>
      </c>
      <c r="G36" s="4" t="n">
        <v>78.5161515587544</v>
      </c>
      <c r="I36" s="4" t="n">
        <v>66.506085676504</v>
      </c>
      <c r="J36" s="4" t="n">
        <v>93.7986342383159</v>
      </c>
      <c r="K36" s="4" t="n">
        <v>43989.1</v>
      </c>
      <c r="L36" s="4" t="n">
        <v>3.00844600020349</v>
      </c>
      <c r="N36" s="4" t="n">
        <v>1.00496304856886</v>
      </c>
      <c r="P36" s="4" t="s">
        <v>324</v>
      </c>
      <c r="Q36" s="4" t="s">
        <v>325</v>
      </c>
      <c r="T36" s="4" t="s">
        <v>326</v>
      </c>
      <c r="U36" s="4" t="s">
        <v>67</v>
      </c>
      <c r="V36" s="170" t="n">
        <v>43782</v>
      </c>
      <c r="W36" s="4" t="n">
        <v>1</v>
      </c>
      <c r="X36" s="4" t="n">
        <v>9</v>
      </c>
      <c r="AA36" s="4" t="n">
        <v>4.75</v>
      </c>
      <c r="AB36" s="4" t="n">
        <v>68</v>
      </c>
      <c r="AC36" s="4" t="s">
        <v>327</v>
      </c>
      <c r="AD36" s="4" t="n">
        <v>7.625</v>
      </c>
      <c r="AE36" s="4" t="n">
        <v>68</v>
      </c>
      <c r="AF36" s="4" t="s">
        <v>328</v>
      </c>
      <c r="AG36" s="4" t="s">
        <v>329</v>
      </c>
      <c r="AH36" s="4" t="s">
        <v>330</v>
      </c>
      <c r="AI36" s="4" t="s">
        <v>331</v>
      </c>
      <c r="AR36" s="4" t="s">
        <v>332</v>
      </c>
      <c r="AS36" s="4" t="s">
        <v>332</v>
      </c>
      <c r="AT36" s="4" t="s">
        <v>332</v>
      </c>
      <c r="AU36" s="4" t="s">
        <v>333</v>
      </c>
      <c r="AV36" s="4" t="n">
        <v>2047</v>
      </c>
      <c r="AW36" s="4" t="n">
        <v>0</v>
      </c>
      <c r="AX36" s="4" t="n">
        <v>400</v>
      </c>
      <c r="AY36" s="4" t="n">
        <v>0</v>
      </c>
      <c r="BB36" s="4" t="n">
        <v>2047</v>
      </c>
      <c r="BC36" s="4" t="n">
        <v>0</v>
      </c>
      <c r="BD36" s="4" t="n">
        <v>514.72998046875</v>
      </c>
      <c r="BE36" s="4" t="n">
        <v>14.7299995422363</v>
      </c>
      <c r="BH36" s="4" t="n">
        <v>420</v>
      </c>
      <c r="BI36" s="4" t="n">
        <v>0</v>
      </c>
      <c r="BN36" s="4" t="n">
        <v>0.5</v>
      </c>
      <c r="BO36" s="4" t="n">
        <v>-3</v>
      </c>
      <c r="BP36" s="4" t="n">
        <v>14.6499996185303</v>
      </c>
      <c r="BQ36" s="4" t="n">
        <v>60</v>
      </c>
      <c r="BR36" s="4" t="n">
        <v>13.1999998092651</v>
      </c>
      <c r="BV36" s="4" t="n">
        <v>1</v>
      </c>
      <c r="BW36" s="4" t="s">
        <v>334</v>
      </c>
      <c r="BX36" s="4" t="n">
        <v>60</v>
      </c>
      <c r="BY36" s="4" t="s">
        <v>332</v>
      </c>
      <c r="BZ36" s="4" t="s">
        <v>332</v>
      </c>
      <c r="CA36" s="4" t="s">
        <v>332</v>
      </c>
      <c r="CB36" s="4" t="s">
        <v>333</v>
      </c>
      <c r="CC36" s="4" t="s">
        <v>332</v>
      </c>
      <c r="CD36" s="4" t="s">
        <v>332</v>
      </c>
      <c r="CE36" s="4" t="s">
        <v>332</v>
      </c>
      <c r="CF36" s="4" t="s">
        <v>333</v>
      </c>
      <c r="CK36" s="169" t="n">
        <v>44848.7768634259</v>
      </c>
      <c r="CL36" s="169" t="n">
        <v>44848.7768634259</v>
      </c>
      <c r="CQ36" s="4" t="n">
        <v>1276</v>
      </c>
      <c r="CR36" s="4" t="n">
        <v>1.3</v>
      </c>
      <c r="CS36" s="21" t="n">
        <v>6.9E-006</v>
      </c>
      <c r="CT36" s="4" t="n">
        <v>0.7379</v>
      </c>
      <c r="CU36" s="4" t="s">
        <v>334</v>
      </c>
      <c r="CV36" s="169" t="n">
        <v>45066</v>
      </c>
      <c r="CW36" s="4" t="s">
        <v>328</v>
      </c>
      <c r="CX36" s="4" t="s">
        <v>340</v>
      </c>
      <c r="CY36" s="4" t="n">
        <v>89</v>
      </c>
      <c r="CZ36" s="4" t="n">
        <v>100</v>
      </c>
      <c r="DB36" s="4" t="s">
        <v>363</v>
      </c>
      <c r="DC36" s="4" t="s">
        <v>408</v>
      </c>
      <c r="DD36" s="4" t="s">
        <v>360</v>
      </c>
      <c r="DF36" s="4" t="n">
        <v>0.088</v>
      </c>
      <c r="DG36" s="4" t="n">
        <v>0.898</v>
      </c>
      <c r="DH36" s="4" t="n">
        <v>79.584</v>
      </c>
      <c r="DI36" s="4" t="n">
        <v>10.505</v>
      </c>
      <c r="DJ36" s="4" t="n">
        <v>4.499</v>
      </c>
      <c r="DK36" s="4" t="n">
        <v>0.745</v>
      </c>
      <c r="DL36" s="4" t="n">
        <v>1.574</v>
      </c>
      <c r="DM36" s="4" t="n">
        <v>0.486</v>
      </c>
      <c r="DN36" s="4" t="n">
        <v>0.516</v>
      </c>
      <c r="DO36" s="4" t="n">
        <v>1.105</v>
      </c>
      <c r="EQ36" s="4" t="s">
        <v>335</v>
      </c>
      <c r="FR36" s="4" t="s">
        <v>369</v>
      </c>
    </row>
    <row r="37" customFormat="false" ht="15.75" hidden="false" customHeight="true" outlineLevel="0" collapsed="false">
      <c r="A37" s="169" t="n">
        <v>45047.375</v>
      </c>
      <c r="B37" s="169" t="n">
        <v>45078.375</v>
      </c>
      <c r="C37" s="4" t="s">
        <v>11</v>
      </c>
      <c r="D37" s="4" t="s">
        <v>409</v>
      </c>
      <c r="E37" s="4" t="n">
        <v>260982.1</v>
      </c>
      <c r="F37" s="4" t="n">
        <v>327271.55</v>
      </c>
      <c r="G37" s="4" t="n">
        <v>102.003694928066</v>
      </c>
      <c r="I37" s="4" t="n">
        <v>69.6057037655324</v>
      </c>
      <c r="J37" s="4" t="n">
        <v>74.5389554167065</v>
      </c>
      <c r="K37" s="4" t="n">
        <v>44625.15</v>
      </c>
      <c r="L37" s="4" t="n">
        <v>3.55531341341584</v>
      </c>
      <c r="N37" s="4" t="n">
        <v>1.00599366860822</v>
      </c>
      <c r="P37" s="4" t="s">
        <v>324</v>
      </c>
      <c r="Q37" s="4" t="s">
        <v>325</v>
      </c>
      <c r="T37" s="4" t="s">
        <v>326</v>
      </c>
      <c r="U37" s="4" t="s">
        <v>11</v>
      </c>
      <c r="V37" s="170" t="n">
        <v>43787</v>
      </c>
      <c r="W37" s="4" t="n">
        <v>1</v>
      </c>
      <c r="X37" s="4" t="n">
        <v>9</v>
      </c>
      <c r="AA37" s="4" t="n">
        <v>4.25</v>
      </c>
      <c r="AB37" s="4" t="n">
        <v>68</v>
      </c>
      <c r="AC37" s="4" t="s">
        <v>327</v>
      </c>
      <c r="AD37" s="4" t="n">
        <v>7.98199987411499</v>
      </c>
      <c r="AE37" s="4" t="n">
        <v>68</v>
      </c>
      <c r="AF37" s="4" t="s">
        <v>328</v>
      </c>
      <c r="AG37" s="4" t="s">
        <v>329</v>
      </c>
      <c r="AH37" s="4" t="s">
        <v>330</v>
      </c>
      <c r="AI37" s="4" t="s">
        <v>331</v>
      </c>
      <c r="AR37" s="4" t="s">
        <v>332</v>
      </c>
      <c r="AS37" s="4" t="s">
        <v>332</v>
      </c>
      <c r="AT37" s="4" t="s">
        <v>332</v>
      </c>
      <c r="AU37" s="4" t="s">
        <v>333</v>
      </c>
      <c r="AV37" s="4" t="n">
        <v>2047</v>
      </c>
      <c r="AW37" s="4" t="n">
        <v>0</v>
      </c>
      <c r="AX37" s="4" t="n">
        <v>400</v>
      </c>
      <c r="AY37" s="4" t="n">
        <v>0</v>
      </c>
      <c r="BB37" s="4" t="n">
        <v>2047</v>
      </c>
      <c r="BC37" s="4" t="n">
        <v>0</v>
      </c>
      <c r="BD37" s="4" t="n">
        <v>100</v>
      </c>
      <c r="BE37" s="4" t="n">
        <v>0</v>
      </c>
      <c r="BH37" s="4" t="n">
        <v>420</v>
      </c>
      <c r="BI37" s="4" t="n">
        <v>0</v>
      </c>
      <c r="BN37" s="4" t="n">
        <v>0.5</v>
      </c>
      <c r="BO37" s="4" t="n">
        <v>-3</v>
      </c>
      <c r="BP37" s="4" t="n">
        <v>14.6499996185303</v>
      </c>
      <c r="BQ37" s="4" t="n">
        <v>60</v>
      </c>
      <c r="BR37" s="4" t="n">
        <v>13.1999998092651</v>
      </c>
      <c r="BV37" s="4" t="s">
        <v>333</v>
      </c>
      <c r="BW37" s="4" t="s">
        <v>334</v>
      </c>
      <c r="BX37" s="4" t="n">
        <v>60</v>
      </c>
      <c r="BY37" s="4" t="s">
        <v>332</v>
      </c>
      <c r="BZ37" s="4" t="s">
        <v>332</v>
      </c>
      <c r="CA37" s="4" t="s">
        <v>332</v>
      </c>
      <c r="CB37" s="4" t="s">
        <v>333</v>
      </c>
      <c r="CC37" s="4" t="s">
        <v>332</v>
      </c>
      <c r="CD37" s="4" t="s">
        <v>332</v>
      </c>
      <c r="CE37" s="4" t="s">
        <v>332</v>
      </c>
      <c r="CF37" s="4" t="s">
        <v>333</v>
      </c>
      <c r="CK37" s="169" t="n">
        <v>44811.5822685185</v>
      </c>
      <c r="CL37" s="169" t="n">
        <v>44811.5822685185</v>
      </c>
      <c r="CQ37" s="4" t="n">
        <v>1254</v>
      </c>
      <c r="CR37" s="4" t="n">
        <v>1.3</v>
      </c>
      <c r="CS37" s="21" t="n">
        <v>6.9E-006</v>
      </c>
      <c r="CT37" s="4" t="n">
        <v>0.726</v>
      </c>
      <c r="CU37" s="4" t="s">
        <v>334</v>
      </c>
      <c r="CV37" s="169" t="n">
        <v>45071</v>
      </c>
      <c r="CW37" s="4" t="s">
        <v>328</v>
      </c>
      <c r="CX37" s="4" t="s">
        <v>350</v>
      </c>
      <c r="CY37" s="4" t="n">
        <v>74</v>
      </c>
      <c r="CZ37" s="4" t="n">
        <v>30</v>
      </c>
      <c r="DB37" s="4" t="s">
        <v>363</v>
      </c>
      <c r="DC37" s="4" t="s">
        <v>347</v>
      </c>
      <c r="DD37" s="4" t="s">
        <v>365</v>
      </c>
      <c r="DF37" s="4" t="n">
        <v>0.212</v>
      </c>
      <c r="DG37" s="4" t="n">
        <v>0.924</v>
      </c>
      <c r="DH37" s="4" t="n">
        <v>79.81</v>
      </c>
      <c r="DI37" s="4" t="n">
        <v>10.702</v>
      </c>
      <c r="DJ37" s="4" t="n">
        <v>4.62</v>
      </c>
      <c r="DK37" s="4" t="n">
        <v>0.685</v>
      </c>
      <c r="DL37" s="4" t="n">
        <v>1.487</v>
      </c>
      <c r="DM37" s="4" t="n">
        <v>0.381</v>
      </c>
      <c r="DN37" s="4" t="n">
        <v>0.416</v>
      </c>
      <c r="DO37" s="4" t="n">
        <v>0.763</v>
      </c>
      <c r="EQ37" s="4" t="s">
        <v>335</v>
      </c>
      <c r="FR37" s="4" t="s">
        <v>404</v>
      </c>
    </row>
    <row r="38" customFormat="false" ht="15.75" hidden="false" customHeight="true" outlineLevel="0" collapsed="false">
      <c r="A38" s="169" t="n">
        <v>45047.375</v>
      </c>
      <c r="B38" s="169" t="n">
        <v>45078.375</v>
      </c>
      <c r="C38" s="4" t="s">
        <v>12</v>
      </c>
      <c r="D38" s="4" t="s">
        <v>410</v>
      </c>
      <c r="E38" s="4" t="n">
        <v>390995.13</v>
      </c>
      <c r="F38" s="4" t="n">
        <v>514119.49</v>
      </c>
      <c r="G38" s="4" t="n">
        <v>89.0865483717233</v>
      </c>
      <c r="I38" s="4" t="n">
        <v>86.9701735366163</v>
      </c>
      <c r="J38" s="4" t="n">
        <v>94.5263672644228</v>
      </c>
      <c r="K38" s="4" t="n">
        <v>44257.4333333333</v>
      </c>
      <c r="L38" s="4" t="n">
        <v>3.68237556125814</v>
      </c>
      <c r="N38" s="4" t="n">
        <v>1.00763140420824</v>
      </c>
      <c r="P38" s="4" t="s">
        <v>324</v>
      </c>
      <c r="Q38" s="4" t="s">
        <v>325</v>
      </c>
      <c r="T38" s="4" t="s">
        <v>326</v>
      </c>
      <c r="U38" s="4" t="s">
        <v>12</v>
      </c>
      <c r="V38" s="170" t="n">
        <v>43936</v>
      </c>
      <c r="W38" s="4" t="n">
        <v>1</v>
      </c>
      <c r="X38" s="4" t="n">
        <v>9</v>
      </c>
      <c r="AA38" s="4" t="n">
        <v>5</v>
      </c>
      <c r="AB38" s="4" t="n">
        <v>68</v>
      </c>
      <c r="AC38" s="4" t="s">
        <v>327</v>
      </c>
      <c r="AD38" s="4" t="n">
        <v>7.98299980163574</v>
      </c>
      <c r="AE38" s="4" t="n">
        <v>68</v>
      </c>
      <c r="AF38" s="4" t="s">
        <v>328</v>
      </c>
      <c r="AG38" s="4" t="s">
        <v>329</v>
      </c>
      <c r="AH38" s="4" t="s">
        <v>330</v>
      </c>
      <c r="AI38" s="4" t="s">
        <v>331</v>
      </c>
      <c r="AR38" s="4" t="s">
        <v>332</v>
      </c>
      <c r="AS38" s="4" t="s">
        <v>332</v>
      </c>
      <c r="AT38" s="4" t="s">
        <v>332</v>
      </c>
      <c r="AU38" s="4" t="s">
        <v>333</v>
      </c>
      <c r="AV38" s="4" t="n">
        <v>2047</v>
      </c>
      <c r="AW38" s="4" t="n">
        <v>0</v>
      </c>
      <c r="AX38" s="4" t="n">
        <v>400</v>
      </c>
      <c r="AY38" s="4" t="n">
        <v>0</v>
      </c>
      <c r="BB38" s="4" t="n">
        <v>2047</v>
      </c>
      <c r="BC38" s="4" t="n">
        <v>0</v>
      </c>
      <c r="BD38" s="4" t="n">
        <v>1514.72998046875</v>
      </c>
      <c r="BE38" s="4" t="n">
        <v>14.7299995422363</v>
      </c>
      <c r="BH38" s="4" t="n">
        <v>420</v>
      </c>
      <c r="BI38" s="4" t="n">
        <v>0</v>
      </c>
      <c r="BN38" s="4" t="n">
        <v>0.5</v>
      </c>
      <c r="BO38" s="4" t="n">
        <v>-3</v>
      </c>
      <c r="BP38" s="4" t="n">
        <v>14.6499996185303</v>
      </c>
      <c r="BQ38" s="4" t="n">
        <v>60</v>
      </c>
      <c r="BR38" s="4" t="n">
        <v>13.1999998092651</v>
      </c>
      <c r="BV38" s="4" t="n">
        <v>1</v>
      </c>
      <c r="BW38" s="4" t="s">
        <v>334</v>
      </c>
      <c r="BX38" s="4" t="n">
        <v>60</v>
      </c>
      <c r="BY38" s="4" t="s">
        <v>332</v>
      </c>
      <c r="BZ38" s="4" t="s">
        <v>332</v>
      </c>
      <c r="CA38" s="4" t="s">
        <v>332</v>
      </c>
      <c r="CB38" s="4" t="s">
        <v>333</v>
      </c>
      <c r="CC38" s="4" t="s">
        <v>332</v>
      </c>
      <c r="CD38" s="4" t="s">
        <v>332</v>
      </c>
      <c r="CE38" s="4" t="s">
        <v>332</v>
      </c>
      <c r="CF38" s="4" t="s">
        <v>333</v>
      </c>
      <c r="CK38" s="169" t="n">
        <v>43531.5672222222</v>
      </c>
      <c r="CQ38" s="4" t="n">
        <v>1314.9</v>
      </c>
      <c r="CR38" s="4" t="n">
        <v>1.3</v>
      </c>
      <c r="CS38" s="21" t="n">
        <v>6.9E-006</v>
      </c>
      <c r="CT38" s="4" t="n">
        <v>0.7649</v>
      </c>
      <c r="CU38" s="4" t="s">
        <v>334</v>
      </c>
      <c r="CV38" s="169" t="n">
        <v>45069</v>
      </c>
      <c r="CW38" s="4" t="s">
        <v>328</v>
      </c>
      <c r="CX38" s="4" t="s">
        <v>393</v>
      </c>
      <c r="CY38" s="4" t="n">
        <v>101</v>
      </c>
      <c r="CZ38" s="4" t="n">
        <v>30</v>
      </c>
      <c r="DB38" s="4" t="s">
        <v>363</v>
      </c>
      <c r="DC38" s="4" t="s">
        <v>411</v>
      </c>
      <c r="DD38" s="4" t="s">
        <v>365</v>
      </c>
      <c r="DF38" s="4" t="n">
        <v>0.165</v>
      </c>
      <c r="DG38" s="4" t="n">
        <v>0.866</v>
      </c>
      <c r="DH38" s="4" t="n">
        <v>77.195</v>
      </c>
      <c r="DI38" s="4" t="n">
        <v>11.392</v>
      </c>
      <c r="DJ38" s="4" t="n">
        <v>5.235</v>
      </c>
      <c r="DK38" s="4" t="n">
        <v>0.841</v>
      </c>
      <c r="DL38" s="4" t="n">
        <v>1.873</v>
      </c>
      <c r="DM38" s="4" t="n">
        <v>0.515</v>
      </c>
      <c r="DN38" s="4" t="n">
        <v>0.59</v>
      </c>
      <c r="DO38" s="4" t="n">
        <v>0.476</v>
      </c>
      <c r="DQ38" s="4" t="n">
        <v>0.438</v>
      </c>
      <c r="DR38" s="4" t="n">
        <v>0.3</v>
      </c>
      <c r="DS38" s="4" t="n">
        <v>0.087</v>
      </c>
      <c r="DT38" s="4" t="n">
        <v>0.027</v>
      </c>
      <c r="EQ38" s="4" t="s">
        <v>335</v>
      </c>
      <c r="FR38" s="4" t="s">
        <v>369</v>
      </c>
    </row>
    <row r="39" customFormat="false" ht="15.75" hidden="false" customHeight="true" outlineLevel="0" collapsed="false">
      <c r="A39" s="169" t="n">
        <v>45047.375</v>
      </c>
      <c r="B39" s="169" t="n">
        <v>45078.375</v>
      </c>
      <c r="C39" s="4" t="s">
        <v>13</v>
      </c>
      <c r="D39" s="4" t="s">
        <v>412</v>
      </c>
      <c r="E39" s="4" t="n">
        <v>475522.56</v>
      </c>
      <c r="F39" s="4" t="n">
        <v>625264.62</v>
      </c>
      <c r="G39" s="4" t="n">
        <v>83.2265424410295</v>
      </c>
      <c r="I39" s="4" t="n">
        <v>86.6335211499817</v>
      </c>
      <c r="J39" s="4" t="n">
        <v>94.319810597109</v>
      </c>
      <c r="K39" s="4" t="n">
        <v>44256.3666666667</v>
      </c>
      <c r="L39" s="4" t="n">
        <v>3.55350218363263</v>
      </c>
      <c r="N39" s="4" t="n">
        <v>1.00760585691539</v>
      </c>
      <c r="P39" s="4" t="s">
        <v>324</v>
      </c>
      <c r="Q39" s="4" t="s">
        <v>325</v>
      </c>
      <c r="T39" s="4" t="s">
        <v>326</v>
      </c>
      <c r="U39" s="4" t="s">
        <v>13</v>
      </c>
      <c r="V39" s="170" t="n">
        <v>43936</v>
      </c>
      <c r="W39" s="4" t="n">
        <v>1</v>
      </c>
      <c r="X39" s="4" t="n">
        <v>9</v>
      </c>
      <c r="AA39" s="4" t="n">
        <v>5.5</v>
      </c>
      <c r="AB39" s="4" t="n">
        <v>68</v>
      </c>
      <c r="AC39" s="4" t="s">
        <v>327</v>
      </c>
      <c r="AD39" s="4" t="n">
        <v>7.98400020599365</v>
      </c>
      <c r="AE39" s="4" t="n">
        <v>68</v>
      </c>
      <c r="AF39" s="4" t="s">
        <v>328</v>
      </c>
      <c r="AG39" s="4" t="s">
        <v>329</v>
      </c>
      <c r="AH39" s="4" t="s">
        <v>330</v>
      </c>
      <c r="AI39" s="4" t="s">
        <v>331</v>
      </c>
      <c r="AR39" s="4" t="s">
        <v>332</v>
      </c>
      <c r="AS39" s="4" t="s">
        <v>332</v>
      </c>
      <c r="AT39" s="4" t="s">
        <v>332</v>
      </c>
      <c r="AU39" s="4" t="s">
        <v>333</v>
      </c>
      <c r="AV39" s="4" t="n">
        <v>2047</v>
      </c>
      <c r="AW39" s="4" t="n">
        <v>0</v>
      </c>
      <c r="AX39" s="4" t="n">
        <v>400</v>
      </c>
      <c r="AY39" s="4" t="n">
        <v>0</v>
      </c>
      <c r="BB39" s="4" t="n">
        <v>2047.96875</v>
      </c>
      <c r="BC39" s="4" t="n">
        <v>0</v>
      </c>
      <c r="BD39" s="4" t="n">
        <v>1513.19995117187</v>
      </c>
      <c r="BE39" s="4" t="n">
        <v>13.1999998092651</v>
      </c>
      <c r="BH39" s="4" t="n">
        <v>420</v>
      </c>
      <c r="BI39" s="4" t="n">
        <v>0</v>
      </c>
      <c r="BN39" s="4" t="n">
        <v>0.5</v>
      </c>
      <c r="BO39" s="4" t="n">
        <v>-3</v>
      </c>
      <c r="BP39" s="4" t="n">
        <v>14.6499996185303</v>
      </c>
      <c r="BQ39" s="4" t="n">
        <v>60</v>
      </c>
      <c r="BR39" s="4" t="n">
        <v>13.1999998092651</v>
      </c>
      <c r="BV39" s="4" t="n">
        <v>1</v>
      </c>
      <c r="BW39" s="4" t="s">
        <v>334</v>
      </c>
      <c r="BX39" s="4" t="n">
        <v>60</v>
      </c>
      <c r="BY39" s="4" t="s">
        <v>332</v>
      </c>
      <c r="BZ39" s="4" t="s">
        <v>332</v>
      </c>
      <c r="CA39" s="4" t="s">
        <v>332</v>
      </c>
      <c r="CB39" s="4" t="s">
        <v>333</v>
      </c>
      <c r="CC39" s="4" t="s">
        <v>332</v>
      </c>
      <c r="CD39" s="4" t="s">
        <v>332</v>
      </c>
      <c r="CE39" s="4" t="s">
        <v>332</v>
      </c>
      <c r="CF39" s="4" t="s">
        <v>333</v>
      </c>
      <c r="CK39" s="169" t="n">
        <v>43531.5672222222</v>
      </c>
      <c r="CQ39" s="4" t="n">
        <v>1314.9</v>
      </c>
      <c r="CR39" s="4" t="n">
        <v>1.3</v>
      </c>
      <c r="CS39" s="21" t="n">
        <v>6.9E-006</v>
      </c>
      <c r="CT39" s="4" t="n">
        <v>0.7649</v>
      </c>
      <c r="CU39" s="4" t="s">
        <v>334</v>
      </c>
      <c r="CV39" s="169" t="n">
        <v>45069</v>
      </c>
      <c r="CW39" s="4" t="s">
        <v>328</v>
      </c>
      <c r="CX39" s="4" t="s">
        <v>393</v>
      </c>
      <c r="CY39" s="4" t="n">
        <v>101</v>
      </c>
      <c r="CZ39" s="4" t="n">
        <v>30</v>
      </c>
      <c r="DB39" s="4" t="s">
        <v>363</v>
      </c>
      <c r="DC39" s="4" t="s">
        <v>411</v>
      </c>
      <c r="DD39" s="4" t="s">
        <v>365</v>
      </c>
      <c r="DF39" s="4" t="n">
        <v>0.165</v>
      </c>
      <c r="DG39" s="4" t="n">
        <v>0.866</v>
      </c>
      <c r="DH39" s="4" t="n">
        <v>77.195</v>
      </c>
      <c r="DI39" s="4" t="n">
        <v>11.392</v>
      </c>
      <c r="DJ39" s="4" t="n">
        <v>5.235</v>
      </c>
      <c r="DK39" s="4" t="n">
        <v>0.841</v>
      </c>
      <c r="DL39" s="4" t="n">
        <v>1.873</v>
      </c>
      <c r="DM39" s="4" t="n">
        <v>0.515</v>
      </c>
      <c r="DN39" s="4" t="n">
        <v>0.59</v>
      </c>
      <c r="DO39" s="4" t="n">
        <v>0.476</v>
      </c>
      <c r="DQ39" s="4" t="n">
        <v>0.438</v>
      </c>
      <c r="DR39" s="4" t="n">
        <v>0.3</v>
      </c>
      <c r="DS39" s="4" t="n">
        <v>0.087</v>
      </c>
      <c r="DT39" s="4" t="n">
        <v>0.027</v>
      </c>
      <c r="EQ39" s="4" t="s">
        <v>335</v>
      </c>
      <c r="FR39" s="4" t="s">
        <v>369</v>
      </c>
    </row>
    <row r="40" customFormat="false" ht="15.75" hidden="false" customHeight="true" outlineLevel="0" collapsed="false">
      <c r="A40" s="169" t="n">
        <v>45047.375</v>
      </c>
      <c r="B40" s="169" t="n">
        <v>45078.375</v>
      </c>
      <c r="C40" s="4" t="s">
        <v>68</v>
      </c>
      <c r="D40" s="4" t="s">
        <v>413</v>
      </c>
      <c r="E40" s="4" t="n">
        <v>131921.42</v>
      </c>
      <c r="F40" s="4" t="n">
        <v>167935.97</v>
      </c>
      <c r="G40" s="4" t="n">
        <v>46.6130475809049</v>
      </c>
      <c r="I40" s="4" t="n">
        <v>69.5052915715093</v>
      </c>
      <c r="J40" s="4" t="n">
        <v>73.0207136120128</v>
      </c>
      <c r="K40" s="4" t="n">
        <v>44597.8</v>
      </c>
      <c r="L40" s="4" t="n">
        <v>38.1251108282919</v>
      </c>
      <c r="N40" s="4" t="n">
        <v>1.00629109844753</v>
      </c>
      <c r="P40" s="4" t="s">
        <v>324</v>
      </c>
      <c r="Q40" s="4" t="s">
        <v>325</v>
      </c>
      <c r="T40" s="4" t="s">
        <v>326</v>
      </c>
      <c r="U40" s="4" t="s">
        <v>68</v>
      </c>
      <c r="V40" s="170" t="n">
        <v>44098</v>
      </c>
      <c r="W40" s="4" t="n">
        <v>1</v>
      </c>
      <c r="X40" s="4" t="n">
        <v>9</v>
      </c>
      <c r="AA40" s="4" t="n">
        <v>3.75</v>
      </c>
      <c r="AB40" s="4" t="n">
        <v>68</v>
      </c>
      <c r="AC40" s="4" t="s">
        <v>327</v>
      </c>
      <c r="AD40" s="4" t="n">
        <v>7.98099994659424</v>
      </c>
      <c r="AE40" s="4" t="n">
        <v>68</v>
      </c>
      <c r="AF40" s="4" t="s">
        <v>328</v>
      </c>
      <c r="AG40" s="4" t="s">
        <v>329</v>
      </c>
      <c r="AH40" s="4" t="s">
        <v>330</v>
      </c>
      <c r="AI40" s="4" t="s">
        <v>331</v>
      </c>
      <c r="AR40" s="4" t="s">
        <v>332</v>
      </c>
      <c r="AS40" s="4" t="s">
        <v>332</v>
      </c>
      <c r="AT40" s="4" t="s">
        <v>332</v>
      </c>
      <c r="AU40" s="4" t="s">
        <v>333</v>
      </c>
      <c r="AV40" s="4" t="n">
        <v>2047</v>
      </c>
      <c r="AW40" s="4" t="n">
        <v>0</v>
      </c>
      <c r="AX40" s="4" t="n">
        <v>400</v>
      </c>
      <c r="AY40" s="4" t="n">
        <v>0</v>
      </c>
      <c r="BB40" s="4" t="n">
        <v>2047</v>
      </c>
      <c r="BC40" s="4" t="n">
        <v>0</v>
      </c>
      <c r="BD40" s="4" t="n">
        <v>1513.19995117187</v>
      </c>
      <c r="BE40" s="4" t="n">
        <v>13.1999998092651</v>
      </c>
      <c r="BH40" s="4" t="n">
        <v>420</v>
      </c>
      <c r="BI40" s="4" t="n">
        <v>0</v>
      </c>
      <c r="BN40" s="4" t="n">
        <v>0.5</v>
      </c>
      <c r="BO40" s="4" t="n">
        <v>-3</v>
      </c>
      <c r="BP40" s="4" t="n">
        <v>14.6499996185303</v>
      </c>
      <c r="BQ40" s="4" t="n">
        <v>60</v>
      </c>
      <c r="BR40" s="4" t="n">
        <v>13.1999998092651</v>
      </c>
      <c r="BV40" s="4" t="s">
        <v>333</v>
      </c>
      <c r="BW40" s="4" t="s">
        <v>334</v>
      </c>
      <c r="BX40" s="4" t="n">
        <v>60</v>
      </c>
      <c r="BY40" s="4" t="s">
        <v>332</v>
      </c>
      <c r="BZ40" s="4" t="s">
        <v>332</v>
      </c>
      <c r="CA40" s="4" t="s">
        <v>332</v>
      </c>
      <c r="CB40" s="4" t="s">
        <v>333</v>
      </c>
      <c r="CC40" s="4" t="s">
        <v>332</v>
      </c>
      <c r="CD40" s="4" t="s">
        <v>332</v>
      </c>
      <c r="CE40" s="4" t="s">
        <v>332</v>
      </c>
      <c r="CF40" s="4" t="s">
        <v>333</v>
      </c>
      <c r="CK40" s="169" t="n">
        <v>44959.4091898148</v>
      </c>
      <c r="CL40" s="169" t="n">
        <v>44959.4091898148</v>
      </c>
      <c r="CQ40" s="4" t="n">
        <v>1273</v>
      </c>
      <c r="CR40" s="4" t="n">
        <v>1.3</v>
      </c>
      <c r="CS40" s="21" t="n">
        <v>6.9E-006</v>
      </c>
      <c r="CT40" s="4" t="n">
        <v>0.7376</v>
      </c>
      <c r="CU40" s="4" t="s">
        <v>334</v>
      </c>
      <c r="CV40" s="169" t="n">
        <v>45071</v>
      </c>
      <c r="CW40" s="4" t="s">
        <v>328</v>
      </c>
      <c r="CX40" s="4" t="s">
        <v>340</v>
      </c>
      <c r="CY40" s="4" t="n">
        <v>75</v>
      </c>
      <c r="CZ40" s="4" t="n">
        <v>25</v>
      </c>
      <c r="DB40" s="4" t="s">
        <v>363</v>
      </c>
      <c r="DC40" s="4" t="s">
        <v>414</v>
      </c>
      <c r="DD40" s="4" t="s">
        <v>365</v>
      </c>
      <c r="DF40" s="4" t="n">
        <v>0.109</v>
      </c>
      <c r="DG40" s="4" t="n">
        <v>1.045</v>
      </c>
      <c r="DH40" s="4" t="n">
        <v>78.009</v>
      </c>
      <c r="DI40" s="4" t="n">
        <v>11.578</v>
      </c>
      <c r="DJ40" s="4" t="n">
        <v>5.413</v>
      </c>
      <c r="DK40" s="4" t="n">
        <v>0.759</v>
      </c>
      <c r="DL40" s="4" t="n">
        <v>1.676</v>
      </c>
      <c r="DM40" s="4" t="n">
        <v>0.371</v>
      </c>
      <c r="DN40" s="4" t="n">
        <v>0.399</v>
      </c>
      <c r="DO40" s="4" t="n">
        <v>0.641</v>
      </c>
      <c r="EQ40" s="4" t="s">
        <v>335</v>
      </c>
      <c r="FR40" s="4" t="s">
        <v>415</v>
      </c>
    </row>
    <row r="41" customFormat="false" ht="15.75" hidden="false" customHeight="true" outlineLevel="0" collapsed="false">
      <c r="A41" s="169" t="n">
        <v>45047.375</v>
      </c>
      <c r="B41" s="169" t="n">
        <v>45078.375</v>
      </c>
      <c r="C41" s="4" t="s">
        <v>69</v>
      </c>
      <c r="D41" s="4" t="s">
        <v>416</v>
      </c>
      <c r="E41" s="4" t="n">
        <v>522485.52</v>
      </c>
      <c r="F41" s="4" t="n">
        <v>668258.98</v>
      </c>
      <c r="G41" s="4" t="n">
        <v>164.705017032719</v>
      </c>
      <c r="I41" s="4" t="n">
        <v>81.9916443128791</v>
      </c>
      <c r="J41" s="4" t="n">
        <v>88.0177497623365</v>
      </c>
      <c r="K41" s="4" t="n">
        <v>44504.9833333333</v>
      </c>
      <c r="L41" s="4" t="n">
        <v>4.87551086398619</v>
      </c>
      <c r="N41" s="4" t="n">
        <v>1.00693950761116</v>
      </c>
      <c r="P41" s="4" t="s">
        <v>324</v>
      </c>
      <c r="Q41" s="4" t="s">
        <v>325</v>
      </c>
      <c r="T41" s="4" t="s">
        <v>326</v>
      </c>
      <c r="U41" s="4" t="s">
        <v>69</v>
      </c>
      <c r="V41" s="170" t="n">
        <v>44106</v>
      </c>
      <c r="W41" s="4" t="n">
        <v>1</v>
      </c>
      <c r="X41" s="4" t="n">
        <v>9</v>
      </c>
      <c r="AA41" s="4" t="n">
        <v>5</v>
      </c>
      <c r="AB41" s="4" t="n">
        <v>68</v>
      </c>
      <c r="AC41" s="4" t="s">
        <v>327</v>
      </c>
      <c r="AD41" s="4" t="n">
        <v>7.625</v>
      </c>
      <c r="AE41" s="4" t="n">
        <v>68</v>
      </c>
      <c r="AF41" s="4" t="s">
        <v>328</v>
      </c>
      <c r="AG41" s="4" t="s">
        <v>329</v>
      </c>
      <c r="AH41" s="4" t="s">
        <v>330</v>
      </c>
      <c r="AI41" s="4" t="s">
        <v>331</v>
      </c>
      <c r="AR41" s="4" t="s">
        <v>332</v>
      </c>
      <c r="AS41" s="4" t="s">
        <v>332</v>
      </c>
      <c r="AT41" s="4" t="s">
        <v>332</v>
      </c>
      <c r="AU41" s="4" t="s">
        <v>333</v>
      </c>
      <c r="AV41" s="4" t="n">
        <v>2047</v>
      </c>
      <c r="AW41" s="4" t="n">
        <v>0</v>
      </c>
      <c r="AX41" s="4" t="n">
        <v>400</v>
      </c>
      <c r="AY41" s="4" t="n">
        <v>0</v>
      </c>
      <c r="BB41" s="4" t="n">
        <v>2047</v>
      </c>
      <c r="BC41" s="4" t="n">
        <v>0</v>
      </c>
      <c r="BD41" s="4" t="n">
        <v>514.72998046875</v>
      </c>
      <c r="BE41" s="4" t="n">
        <v>14.7299995422363</v>
      </c>
      <c r="BH41" s="4" t="n">
        <v>420</v>
      </c>
      <c r="BI41" s="4" t="n">
        <v>0</v>
      </c>
      <c r="BN41" s="4" t="n">
        <v>0.5</v>
      </c>
      <c r="BO41" s="4" t="n">
        <v>-3</v>
      </c>
      <c r="BP41" s="4" t="n">
        <v>14.6499996185303</v>
      </c>
      <c r="BQ41" s="4" t="n">
        <v>60</v>
      </c>
      <c r="BR41" s="4" t="n">
        <v>13.1999998092651</v>
      </c>
      <c r="BV41" s="4" t="n">
        <v>1</v>
      </c>
      <c r="BW41" s="4" t="s">
        <v>334</v>
      </c>
      <c r="BX41" s="4" t="n">
        <v>60</v>
      </c>
      <c r="BY41" s="4" t="s">
        <v>332</v>
      </c>
      <c r="BZ41" s="4" t="s">
        <v>332</v>
      </c>
      <c r="CA41" s="4" t="s">
        <v>332</v>
      </c>
      <c r="CB41" s="4" t="s">
        <v>333</v>
      </c>
      <c r="CC41" s="4" t="s">
        <v>332</v>
      </c>
      <c r="CD41" s="4" t="s">
        <v>332</v>
      </c>
      <c r="CE41" s="4" t="s">
        <v>332</v>
      </c>
      <c r="CF41" s="4" t="s">
        <v>333</v>
      </c>
      <c r="CK41" s="169" t="n">
        <v>43531.5672222222</v>
      </c>
      <c r="CQ41" s="4" t="n">
        <v>1279</v>
      </c>
      <c r="CR41" s="4" t="n">
        <v>1.3</v>
      </c>
      <c r="CS41" s="21" t="n">
        <v>6.9E-006</v>
      </c>
      <c r="CT41" s="4" t="n">
        <v>0.7403</v>
      </c>
      <c r="CU41" s="4" t="s">
        <v>334</v>
      </c>
      <c r="CV41" s="169" t="n">
        <v>45065</v>
      </c>
      <c r="CW41" s="4" t="s">
        <v>328</v>
      </c>
      <c r="CX41" s="4" t="s">
        <v>340</v>
      </c>
      <c r="CY41" s="4" t="n">
        <v>92</v>
      </c>
      <c r="CZ41" s="4" t="n">
        <v>200</v>
      </c>
      <c r="DB41" s="4" t="s">
        <v>363</v>
      </c>
      <c r="DC41" s="4" t="s">
        <v>387</v>
      </c>
      <c r="DD41" s="4" t="s">
        <v>365</v>
      </c>
      <c r="DF41" s="4" t="n">
        <v>0.179</v>
      </c>
      <c r="DG41" s="4" t="n">
        <v>0.802</v>
      </c>
      <c r="DH41" s="4" t="n">
        <v>78.54</v>
      </c>
      <c r="DI41" s="4" t="n">
        <v>11.158</v>
      </c>
      <c r="DJ41" s="4" t="n">
        <v>5.019</v>
      </c>
      <c r="DK41" s="4" t="n">
        <v>0.807</v>
      </c>
      <c r="DL41" s="4" t="n">
        <v>1.755</v>
      </c>
      <c r="DM41" s="4" t="n">
        <v>0.475</v>
      </c>
      <c r="DN41" s="4" t="n">
        <v>0.539</v>
      </c>
      <c r="DO41" s="4" t="n">
        <v>0.726</v>
      </c>
      <c r="EQ41" s="4" t="s">
        <v>335</v>
      </c>
      <c r="FR41" s="4" t="s">
        <v>417</v>
      </c>
    </row>
    <row r="42" customFormat="false" ht="15.75" hidden="false" customHeight="true" outlineLevel="0" collapsed="false">
      <c r="A42" s="169" t="n">
        <v>45047.375</v>
      </c>
      <c r="B42" s="169" t="n">
        <v>45078.375</v>
      </c>
      <c r="C42" s="4" t="s">
        <v>70</v>
      </c>
      <c r="D42" s="4" t="s">
        <v>418</v>
      </c>
      <c r="E42" s="4" t="n">
        <v>84015.9</v>
      </c>
      <c r="F42" s="4" t="n">
        <v>103843.65</v>
      </c>
      <c r="G42" s="4" t="n">
        <v>11.7740987860625</v>
      </c>
      <c r="I42" s="4" t="n">
        <v>54.6667374019693</v>
      </c>
      <c r="J42" s="4" t="n">
        <v>83.7578652637491</v>
      </c>
      <c r="K42" s="4" t="n">
        <v>44475.1666666667</v>
      </c>
      <c r="L42" s="4" t="n">
        <v>1.0692355958574</v>
      </c>
      <c r="N42" s="4" t="n">
        <v>1.00378510346299</v>
      </c>
      <c r="P42" s="4" t="s">
        <v>324</v>
      </c>
      <c r="Q42" s="4" t="s">
        <v>325</v>
      </c>
      <c r="T42" s="4" t="s">
        <v>326</v>
      </c>
      <c r="U42" s="4" t="s">
        <v>70</v>
      </c>
      <c r="V42" s="170" t="n">
        <v>43782</v>
      </c>
      <c r="W42" s="4" t="n">
        <v>1</v>
      </c>
      <c r="X42" s="4" t="n">
        <v>9</v>
      </c>
      <c r="AA42" s="4" t="n">
        <v>4.25</v>
      </c>
      <c r="AB42" s="4" t="n">
        <v>68</v>
      </c>
      <c r="AC42" s="4" t="s">
        <v>327</v>
      </c>
      <c r="AD42" s="4" t="n">
        <v>7.625</v>
      </c>
      <c r="AE42" s="4" t="n">
        <v>68</v>
      </c>
      <c r="AF42" s="4" t="s">
        <v>328</v>
      </c>
      <c r="AG42" s="4" t="s">
        <v>329</v>
      </c>
      <c r="AH42" s="4" t="s">
        <v>330</v>
      </c>
      <c r="AI42" s="4" t="s">
        <v>331</v>
      </c>
      <c r="AR42" s="4" t="s">
        <v>332</v>
      </c>
      <c r="AS42" s="4" t="s">
        <v>332</v>
      </c>
      <c r="AT42" s="4" t="s">
        <v>332</v>
      </c>
      <c r="AU42" s="4" t="s">
        <v>333</v>
      </c>
      <c r="AV42" s="4" t="n">
        <v>2047</v>
      </c>
      <c r="AW42" s="4" t="n">
        <v>0</v>
      </c>
      <c r="AX42" s="4" t="n">
        <v>400</v>
      </c>
      <c r="AY42" s="4" t="n">
        <v>0</v>
      </c>
      <c r="BB42" s="4" t="n">
        <v>2047</v>
      </c>
      <c r="BC42" s="4" t="n">
        <v>0</v>
      </c>
      <c r="BD42" s="4" t="n">
        <v>1513.19995117187</v>
      </c>
      <c r="BE42" s="4" t="n">
        <v>13.1999998092651</v>
      </c>
      <c r="BH42" s="4" t="n">
        <v>420</v>
      </c>
      <c r="BI42" s="4" t="n">
        <v>0</v>
      </c>
      <c r="BN42" s="4" t="n">
        <v>0.5</v>
      </c>
      <c r="BO42" s="4" t="n">
        <v>-3</v>
      </c>
      <c r="BP42" s="4" t="n">
        <v>14.6499996185303</v>
      </c>
      <c r="BQ42" s="4" t="n">
        <v>60</v>
      </c>
      <c r="BR42" s="4" t="n">
        <v>13.1999998092651</v>
      </c>
      <c r="BV42" s="4" t="n">
        <v>1</v>
      </c>
      <c r="BW42" s="4" t="s">
        <v>334</v>
      </c>
      <c r="BX42" s="4" t="n">
        <v>60</v>
      </c>
      <c r="BY42" s="4" t="s">
        <v>332</v>
      </c>
      <c r="BZ42" s="4" t="s">
        <v>332</v>
      </c>
      <c r="CA42" s="4" t="s">
        <v>332</v>
      </c>
      <c r="CB42" s="4" t="s">
        <v>333</v>
      </c>
      <c r="CC42" s="4" t="s">
        <v>332</v>
      </c>
      <c r="CD42" s="4" t="s">
        <v>332</v>
      </c>
      <c r="CE42" s="4" t="s">
        <v>332</v>
      </c>
      <c r="CF42" s="4" t="s">
        <v>333</v>
      </c>
      <c r="CK42" s="169" t="n">
        <v>43531.5672222222</v>
      </c>
      <c r="CQ42" s="4" t="n">
        <v>1236</v>
      </c>
      <c r="CR42" s="4" t="n">
        <v>1.3</v>
      </c>
      <c r="CS42" s="21" t="n">
        <v>6.9E-006</v>
      </c>
      <c r="CT42" s="4" t="n">
        <v>0.7104</v>
      </c>
      <c r="CU42" s="4" t="s">
        <v>334</v>
      </c>
      <c r="CV42" s="169" t="n">
        <v>45073</v>
      </c>
      <c r="CW42" s="4" t="s">
        <v>328</v>
      </c>
      <c r="CX42" s="4" t="s">
        <v>340</v>
      </c>
      <c r="CY42" s="4" t="n">
        <v>86</v>
      </c>
      <c r="CZ42" s="4" t="n">
        <v>32</v>
      </c>
      <c r="DB42" s="4" t="s">
        <v>363</v>
      </c>
      <c r="DC42" s="4" t="s">
        <v>419</v>
      </c>
      <c r="DD42" s="4" t="s">
        <v>360</v>
      </c>
      <c r="DF42" s="4" t="n">
        <v>0.096</v>
      </c>
      <c r="DG42" s="4" t="n">
        <v>0.736</v>
      </c>
      <c r="DH42" s="4" t="n">
        <v>81.238</v>
      </c>
      <c r="DI42" s="4" t="n">
        <v>10.675</v>
      </c>
      <c r="DJ42" s="4" t="n">
        <v>3.984</v>
      </c>
      <c r="DK42" s="4" t="n">
        <v>0.643</v>
      </c>
      <c r="DL42" s="4" t="n">
        <v>1.174</v>
      </c>
      <c r="DM42" s="4" t="n">
        <v>0.34</v>
      </c>
      <c r="DN42" s="4" t="n">
        <v>0.357</v>
      </c>
      <c r="DO42" s="4" t="n">
        <v>0.757</v>
      </c>
      <c r="EQ42" s="4" t="s">
        <v>335</v>
      </c>
      <c r="FR42" s="4" t="s">
        <v>369</v>
      </c>
    </row>
    <row r="43" customFormat="false" ht="15.75" hidden="false" customHeight="true" outlineLevel="0" collapsed="false">
      <c r="A43" s="169" t="n">
        <v>45047.375</v>
      </c>
      <c r="B43" s="169" t="n">
        <v>45078.375</v>
      </c>
      <c r="C43" s="4" t="s">
        <v>71</v>
      </c>
      <c r="D43" s="4" t="s">
        <v>420</v>
      </c>
      <c r="E43" s="4" t="n">
        <v>0</v>
      </c>
      <c r="F43" s="4" t="n">
        <v>0</v>
      </c>
      <c r="G43" s="4" t="n">
        <v>0</v>
      </c>
      <c r="I43" s="4" t="n">
        <v>16.6846112499955</v>
      </c>
      <c r="J43" s="4" t="n">
        <v>75.0433518040565</v>
      </c>
      <c r="K43" s="4" t="n">
        <v>0</v>
      </c>
      <c r="L43" s="4" t="n">
        <v>0</v>
      </c>
      <c r="P43" s="4" t="s">
        <v>324</v>
      </c>
      <c r="Q43" s="4" t="s">
        <v>325</v>
      </c>
      <c r="T43" s="4" t="s">
        <v>326</v>
      </c>
      <c r="U43" s="4" t="s">
        <v>71</v>
      </c>
      <c r="V43" s="170" t="n">
        <v>43794</v>
      </c>
      <c r="W43" s="4" t="n">
        <v>1</v>
      </c>
      <c r="X43" s="4" t="n">
        <v>9</v>
      </c>
      <c r="AA43" s="4" t="n">
        <v>2.75</v>
      </c>
      <c r="AB43" s="4" t="n">
        <v>68</v>
      </c>
      <c r="AC43" s="4" t="s">
        <v>327</v>
      </c>
      <c r="AD43" s="4" t="n">
        <v>7.625</v>
      </c>
      <c r="AE43" s="4" t="n">
        <v>68</v>
      </c>
      <c r="AF43" s="4" t="s">
        <v>328</v>
      </c>
      <c r="AG43" s="4" t="s">
        <v>329</v>
      </c>
      <c r="AH43" s="4" t="s">
        <v>330</v>
      </c>
      <c r="AI43" s="4" t="s">
        <v>331</v>
      </c>
      <c r="AR43" s="4" t="s">
        <v>332</v>
      </c>
      <c r="AS43" s="4" t="s">
        <v>332</v>
      </c>
      <c r="AT43" s="4" t="s">
        <v>332</v>
      </c>
      <c r="AU43" s="4" t="s">
        <v>333</v>
      </c>
      <c r="AV43" s="4" t="n">
        <v>2047</v>
      </c>
      <c r="AW43" s="4" t="n">
        <v>0</v>
      </c>
      <c r="AX43" s="4" t="n">
        <v>400</v>
      </c>
      <c r="AY43" s="4" t="n">
        <v>0</v>
      </c>
      <c r="BB43" s="4" t="n">
        <v>2047</v>
      </c>
      <c r="BC43" s="4" t="n">
        <v>0</v>
      </c>
      <c r="BD43" s="4" t="n">
        <v>100</v>
      </c>
      <c r="BE43" s="4" t="n">
        <v>0</v>
      </c>
      <c r="BH43" s="4" t="n">
        <v>420</v>
      </c>
      <c r="BI43" s="4" t="n">
        <v>0</v>
      </c>
      <c r="BN43" s="4" t="n">
        <v>0.5</v>
      </c>
      <c r="BO43" s="4" t="n">
        <v>-3</v>
      </c>
      <c r="BP43" s="4" t="n">
        <v>14.6499996185303</v>
      </c>
      <c r="BQ43" s="4" t="n">
        <v>60</v>
      </c>
      <c r="BR43" s="4" t="n">
        <v>13.1999998092651</v>
      </c>
      <c r="BV43" s="4" t="n">
        <v>1</v>
      </c>
      <c r="BW43" s="4" t="s">
        <v>334</v>
      </c>
      <c r="BX43" s="4" t="n">
        <v>60</v>
      </c>
      <c r="BY43" s="4" t="s">
        <v>332</v>
      </c>
      <c r="BZ43" s="4" t="s">
        <v>332</v>
      </c>
      <c r="CA43" s="4" t="s">
        <v>332</v>
      </c>
      <c r="CB43" s="4" t="s">
        <v>333</v>
      </c>
      <c r="CC43" s="4" t="s">
        <v>332</v>
      </c>
      <c r="CD43" s="4" t="s">
        <v>332</v>
      </c>
      <c r="CE43" s="4" t="s">
        <v>332</v>
      </c>
      <c r="CF43" s="4" t="s">
        <v>333</v>
      </c>
      <c r="CK43" s="169" t="n">
        <v>43531.5672222222</v>
      </c>
      <c r="CQ43" s="4" t="n">
        <v>1255</v>
      </c>
      <c r="CR43" s="4" t="n">
        <v>1.3</v>
      </c>
      <c r="CS43" s="21" t="n">
        <v>6.9E-006</v>
      </c>
      <c r="CT43" s="4" t="n">
        <v>0.7254</v>
      </c>
      <c r="CU43" s="4" t="s">
        <v>334</v>
      </c>
      <c r="CV43" s="169" t="n">
        <v>45073</v>
      </c>
      <c r="CW43" s="4" t="s">
        <v>328</v>
      </c>
      <c r="CX43" s="4" t="s">
        <v>393</v>
      </c>
      <c r="CY43" s="4" t="n">
        <v>80</v>
      </c>
      <c r="CZ43" s="4" t="n">
        <v>10</v>
      </c>
      <c r="DB43" s="4" t="s">
        <v>363</v>
      </c>
      <c r="DC43" s="4" t="s">
        <v>421</v>
      </c>
      <c r="DD43" s="4" t="s">
        <v>360</v>
      </c>
      <c r="DF43" s="4" t="n">
        <v>0.132</v>
      </c>
      <c r="DG43" s="4" t="n">
        <v>0.923000000000001</v>
      </c>
      <c r="DH43" s="4" t="n">
        <v>81.04</v>
      </c>
      <c r="DI43" s="4" t="n">
        <v>10.067</v>
      </c>
      <c r="DJ43" s="4" t="n">
        <v>3.911</v>
      </c>
      <c r="DK43" s="4" t="n">
        <v>0.559</v>
      </c>
      <c r="DL43" s="4" t="n">
        <v>1.238</v>
      </c>
      <c r="DM43" s="4" t="n">
        <v>0.338</v>
      </c>
      <c r="DN43" s="4" t="n">
        <v>0.403</v>
      </c>
      <c r="DO43" s="4" t="n">
        <v>1.389</v>
      </c>
      <c r="EQ43" s="4" t="s">
        <v>335</v>
      </c>
      <c r="FR43" s="4" t="s">
        <v>404</v>
      </c>
    </row>
    <row r="44" customFormat="false" ht="15.75" hidden="false" customHeight="true" outlineLevel="0" collapsed="false">
      <c r="A44" s="169" t="n">
        <v>45047.375</v>
      </c>
      <c r="B44" s="169" t="n">
        <v>45078.375</v>
      </c>
      <c r="C44" s="4" t="s">
        <v>72</v>
      </c>
      <c r="D44" s="4" t="s">
        <v>422</v>
      </c>
      <c r="E44" s="4" t="n">
        <v>0</v>
      </c>
      <c r="F44" s="4" t="n">
        <v>0</v>
      </c>
      <c r="G44" s="4" t="n">
        <v>0</v>
      </c>
      <c r="I44" s="4" t="n">
        <v>1072.10043367776</v>
      </c>
      <c r="J44" s="4" t="n">
        <v>80.4026728855666</v>
      </c>
      <c r="K44" s="4" t="n">
        <v>0</v>
      </c>
      <c r="L44" s="21" t="n">
        <v>5.50823887185474E-006</v>
      </c>
      <c r="N44" s="4" t="n">
        <v>1.10452795164028</v>
      </c>
      <c r="P44" s="4" t="s">
        <v>324</v>
      </c>
      <c r="Q44" s="4" t="s">
        <v>325</v>
      </c>
      <c r="T44" s="4" t="s">
        <v>326</v>
      </c>
      <c r="U44" s="4" t="s">
        <v>72</v>
      </c>
      <c r="V44" s="170" t="n">
        <v>43619</v>
      </c>
      <c r="W44" s="4" t="n">
        <v>1</v>
      </c>
      <c r="X44" s="4" t="n">
        <v>9</v>
      </c>
      <c r="AA44" s="4" t="n">
        <v>1.25</v>
      </c>
      <c r="AB44" s="4" t="n">
        <v>68</v>
      </c>
      <c r="AC44" s="4" t="s">
        <v>327</v>
      </c>
      <c r="AD44" s="4" t="n">
        <v>2.90700006484985</v>
      </c>
      <c r="AE44" s="4" t="n">
        <v>68</v>
      </c>
      <c r="AF44" s="4" t="s">
        <v>328</v>
      </c>
      <c r="AG44" s="4" t="s">
        <v>329</v>
      </c>
      <c r="AH44" s="4" t="s">
        <v>330</v>
      </c>
      <c r="AI44" s="4" t="s">
        <v>331</v>
      </c>
      <c r="AR44" s="4" t="s">
        <v>332</v>
      </c>
      <c r="AS44" s="4" t="s">
        <v>332</v>
      </c>
      <c r="AT44" s="4" t="s">
        <v>332</v>
      </c>
      <c r="AU44" s="4" t="s">
        <v>333</v>
      </c>
      <c r="AV44" s="4" t="n">
        <v>2047</v>
      </c>
      <c r="AW44" s="4" t="n">
        <v>0</v>
      </c>
      <c r="AX44" s="4" t="n">
        <v>400</v>
      </c>
      <c r="AY44" s="4" t="n">
        <v>0</v>
      </c>
      <c r="BB44" s="4" t="n">
        <v>2047</v>
      </c>
      <c r="BC44" s="4" t="n">
        <v>0</v>
      </c>
      <c r="BD44" s="4" t="n">
        <v>1513.19995117187</v>
      </c>
      <c r="BE44" s="4" t="n">
        <v>13.1999998092651</v>
      </c>
      <c r="BH44" s="4" t="n">
        <v>420</v>
      </c>
      <c r="BI44" s="4" t="n">
        <v>0</v>
      </c>
      <c r="BN44" s="4" t="n">
        <v>0.5</v>
      </c>
      <c r="BO44" s="4" t="n">
        <v>-3</v>
      </c>
      <c r="BP44" s="4" t="n">
        <v>14.6499996185303</v>
      </c>
      <c r="BQ44" s="4" t="n">
        <v>60</v>
      </c>
      <c r="BR44" s="4" t="n">
        <v>13.1999998092651</v>
      </c>
      <c r="BV44" s="4" t="n">
        <v>1</v>
      </c>
      <c r="BW44" s="4" t="s">
        <v>334</v>
      </c>
      <c r="BX44" s="4" t="n">
        <v>60</v>
      </c>
      <c r="BY44" s="4" t="s">
        <v>332</v>
      </c>
      <c r="BZ44" s="4" t="s">
        <v>332</v>
      </c>
      <c r="CA44" s="4" t="s">
        <v>332</v>
      </c>
      <c r="CB44" s="4" t="s">
        <v>333</v>
      </c>
      <c r="CC44" s="4" t="s">
        <v>332</v>
      </c>
      <c r="CD44" s="4" t="s">
        <v>332</v>
      </c>
      <c r="CE44" s="4" t="s">
        <v>333</v>
      </c>
      <c r="CF44" s="4" t="s">
        <v>333</v>
      </c>
      <c r="CK44" s="169" t="n">
        <v>44929.7346990741</v>
      </c>
      <c r="CL44" s="169" t="n">
        <v>44929.7346990741</v>
      </c>
      <c r="CQ44" s="4" t="n">
        <v>1183</v>
      </c>
      <c r="CR44" s="4" t="n">
        <v>1.3</v>
      </c>
      <c r="CS44" s="21" t="n">
        <v>6.9E-006</v>
      </c>
      <c r="CT44" s="4" t="n">
        <v>0.6767</v>
      </c>
      <c r="CU44" s="4" t="s">
        <v>334</v>
      </c>
      <c r="CV44" s="169" t="n">
        <v>45064</v>
      </c>
      <c r="CW44" s="4" t="s">
        <v>327</v>
      </c>
      <c r="CX44" s="4" t="s">
        <v>350</v>
      </c>
      <c r="CY44" s="4" t="n">
        <v>88</v>
      </c>
      <c r="CZ44" s="4" t="n">
        <v>1100</v>
      </c>
      <c r="DB44" s="4" t="s">
        <v>386</v>
      </c>
      <c r="DC44" s="4" t="s">
        <v>423</v>
      </c>
      <c r="DD44" s="4" t="s">
        <v>380</v>
      </c>
      <c r="DF44" s="4" t="n">
        <v>0.18</v>
      </c>
      <c r="DG44" s="4" t="n">
        <v>0.631</v>
      </c>
      <c r="DH44" s="4" t="n">
        <v>85.971</v>
      </c>
      <c r="DI44" s="4" t="n">
        <v>7.221</v>
      </c>
      <c r="DJ44" s="4" t="n">
        <v>3.24</v>
      </c>
      <c r="DK44" s="4" t="n">
        <v>0.432</v>
      </c>
      <c r="DL44" s="4" t="n">
        <v>1.094</v>
      </c>
      <c r="DM44" s="4" t="n">
        <v>0.289</v>
      </c>
      <c r="DN44" s="4" t="n">
        <v>0.353</v>
      </c>
      <c r="DO44" s="4" t="n">
        <v>0.589</v>
      </c>
      <c r="EQ44" s="4" t="s">
        <v>335</v>
      </c>
      <c r="FR44" s="4" t="s">
        <v>417</v>
      </c>
    </row>
    <row r="45" customFormat="false" ht="15.75" hidden="false" customHeight="true" outlineLevel="0" collapsed="false">
      <c r="A45" s="169" t="n">
        <v>45047.375</v>
      </c>
      <c r="B45" s="169" t="n">
        <v>45078.375</v>
      </c>
      <c r="C45" s="4" t="s">
        <v>73</v>
      </c>
      <c r="D45" s="4" t="s">
        <v>424</v>
      </c>
      <c r="E45" s="4" t="n">
        <v>374548.34</v>
      </c>
      <c r="F45" s="4" t="n">
        <v>443090.69</v>
      </c>
      <c r="G45" s="4" t="n">
        <v>36.1827629746887</v>
      </c>
      <c r="I45" s="4" t="n">
        <v>1072.8447571181</v>
      </c>
      <c r="J45" s="4" t="n">
        <v>87.6964028917184</v>
      </c>
      <c r="K45" s="4" t="n">
        <v>44563.6666666667</v>
      </c>
      <c r="L45" s="4" t="n">
        <v>8.13592567795796</v>
      </c>
      <c r="N45" s="4" t="n">
        <v>1.10120158982378</v>
      </c>
      <c r="P45" s="4" t="s">
        <v>324</v>
      </c>
      <c r="Q45" s="4" t="s">
        <v>325</v>
      </c>
      <c r="T45" s="4" t="s">
        <v>326</v>
      </c>
      <c r="U45" s="4" t="s">
        <v>73</v>
      </c>
      <c r="V45" s="170" t="n">
        <v>43619</v>
      </c>
      <c r="W45" s="4" t="n">
        <v>1</v>
      </c>
      <c r="X45" s="4" t="n">
        <v>9</v>
      </c>
      <c r="AA45" s="4" t="n">
        <v>3</v>
      </c>
      <c r="AB45" s="4" t="n">
        <v>68</v>
      </c>
      <c r="AC45" s="4" t="s">
        <v>327</v>
      </c>
      <c r="AD45" s="4" t="n">
        <v>7.625</v>
      </c>
      <c r="AE45" s="4" t="n">
        <v>68</v>
      </c>
      <c r="AF45" s="4" t="s">
        <v>328</v>
      </c>
      <c r="AG45" s="4" t="s">
        <v>329</v>
      </c>
      <c r="AH45" s="4" t="s">
        <v>330</v>
      </c>
      <c r="AI45" s="4" t="s">
        <v>331</v>
      </c>
      <c r="AR45" s="4" t="s">
        <v>332</v>
      </c>
      <c r="AS45" s="4" t="s">
        <v>332</v>
      </c>
      <c r="AT45" s="4" t="s">
        <v>332</v>
      </c>
      <c r="AU45" s="4" t="s">
        <v>333</v>
      </c>
      <c r="AV45" s="4" t="n">
        <v>2047</v>
      </c>
      <c r="AW45" s="4" t="n">
        <v>0</v>
      </c>
      <c r="AX45" s="4" t="n">
        <v>400</v>
      </c>
      <c r="AY45" s="4" t="n">
        <v>0</v>
      </c>
      <c r="BB45" s="4" t="n">
        <v>2047.96875</v>
      </c>
      <c r="BC45" s="4" t="n">
        <v>0</v>
      </c>
      <c r="BD45" s="4" t="n">
        <v>1213.19995117187</v>
      </c>
      <c r="BE45" s="4" t="n">
        <v>13.1999998092651</v>
      </c>
      <c r="BH45" s="4" t="n">
        <v>420</v>
      </c>
      <c r="BI45" s="4" t="n">
        <v>0</v>
      </c>
      <c r="BN45" s="4" t="n">
        <v>0.5</v>
      </c>
      <c r="BO45" s="4" t="n">
        <v>-3</v>
      </c>
      <c r="BP45" s="4" t="n">
        <v>14.6499996185303</v>
      </c>
      <c r="BQ45" s="4" t="n">
        <v>60</v>
      </c>
      <c r="BR45" s="4" t="n">
        <v>13.1999998092651</v>
      </c>
      <c r="BV45" s="4" t="n">
        <v>1</v>
      </c>
      <c r="BW45" s="4" t="s">
        <v>334</v>
      </c>
      <c r="BX45" s="4" t="n">
        <v>60</v>
      </c>
      <c r="BY45" s="4" t="s">
        <v>332</v>
      </c>
      <c r="BZ45" s="4" t="s">
        <v>332</v>
      </c>
      <c r="CA45" s="4" t="s">
        <v>332</v>
      </c>
      <c r="CB45" s="4" t="s">
        <v>333</v>
      </c>
      <c r="CC45" s="4" t="s">
        <v>332</v>
      </c>
      <c r="CD45" s="4" t="s">
        <v>332</v>
      </c>
      <c r="CE45" s="4" t="s">
        <v>333</v>
      </c>
      <c r="CF45" s="4" t="s">
        <v>333</v>
      </c>
      <c r="CK45" s="169" t="n">
        <v>44929.7346990741</v>
      </c>
      <c r="CL45" s="169" t="n">
        <v>44929.7346990741</v>
      </c>
      <c r="CQ45" s="4" t="n">
        <v>1183</v>
      </c>
      <c r="CR45" s="4" t="n">
        <v>1.3</v>
      </c>
      <c r="CS45" s="21" t="n">
        <v>6.9E-006</v>
      </c>
      <c r="CT45" s="4" t="n">
        <v>0.6767</v>
      </c>
      <c r="CU45" s="4" t="s">
        <v>334</v>
      </c>
      <c r="CV45" s="169" t="n">
        <v>45064</v>
      </c>
      <c r="CW45" s="4" t="s">
        <v>327</v>
      </c>
      <c r="CX45" s="4" t="s">
        <v>350</v>
      </c>
      <c r="CY45" s="4" t="n">
        <v>88</v>
      </c>
      <c r="CZ45" s="4" t="n">
        <v>1100</v>
      </c>
      <c r="DB45" s="4" t="s">
        <v>386</v>
      </c>
      <c r="DC45" s="4" t="s">
        <v>423</v>
      </c>
      <c r="DD45" s="4" t="s">
        <v>380</v>
      </c>
      <c r="DF45" s="4" t="n">
        <v>0.18</v>
      </c>
      <c r="DG45" s="4" t="n">
        <v>0.631</v>
      </c>
      <c r="DH45" s="4" t="n">
        <v>85.971</v>
      </c>
      <c r="DI45" s="4" t="n">
        <v>7.221</v>
      </c>
      <c r="DJ45" s="4" t="n">
        <v>3.24</v>
      </c>
      <c r="DK45" s="4" t="n">
        <v>0.432</v>
      </c>
      <c r="DL45" s="4" t="n">
        <v>1.094</v>
      </c>
      <c r="DM45" s="4" t="n">
        <v>0.289</v>
      </c>
      <c r="DN45" s="4" t="n">
        <v>0.353</v>
      </c>
      <c r="DO45" s="4" t="n">
        <v>0.589</v>
      </c>
      <c r="EQ45" s="4" t="s">
        <v>335</v>
      </c>
      <c r="FR45" s="4" t="s">
        <v>417</v>
      </c>
    </row>
    <row r="46" customFormat="false" ht="15.75" hidden="false" customHeight="true" outlineLevel="0" collapsed="false">
      <c r="A46" s="169" t="n">
        <v>45047.4166666667</v>
      </c>
      <c r="B46" s="169" t="n">
        <v>45078.4166666667</v>
      </c>
      <c r="C46" s="4" t="s">
        <v>74</v>
      </c>
      <c r="D46" s="4" t="s">
        <v>425</v>
      </c>
      <c r="E46" s="4" t="n">
        <v>70367.31</v>
      </c>
      <c r="F46" s="4" t="n">
        <v>85355.54</v>
      </c>
      <c r="G46" s="4" t="n">
        <v>49.0105206271314</v>
      </c>
      <c r="I46" s="4" t="n">
        <v>973.057708345714</v>
      </c>
      <c r="J46" s="4" t="n">
        <v>91.995710297439</v>
      </c>
      <c r="K46" s="4" t="n">
        <v>38746.7666666667</v>
      </c>
      <c r="L46" s="4" t="n">
        <v>208.690416474095</v>
      </c>
      <c r="N46" s="4" t="n">
        <v>1.09931178431695</v>
      </c>
      <c r="P46" s="4" t="s">
        <v>367</v>
      </c>
      <c r="Q46" s="4" t="s">
        <v>325</v>
      </c>
      <c r="T46" s="4" t="s">
        <v>326</v>
      </c>
      <c r="U46" s="4" t="s">
        <v>74</v>
      </c>
      <c r="V46" s="170" t="n">
        <v>43648</v>
      </c>
      <c r="W46" s="4" t="n">
        <v>1</v>
      </c>
      <c r="X46" s="4" t="n">
        <v>9</v>
      </c>
      <c r="AA46" s="4" t="n">
        <v>1.5</v>
      </c>
      <c r="AB46" s="4" t="n">
        <v>68</v>
      </c>
      <c r="AC46" s="4" t="s">
        <v>327</v>
      </c>
      <c r="AD46" s="4" t="n">
        <v>2.8970000743866</v>
      </c>
      <c r="AE46" s="4" t="n">
        <v>68</v>
      </c>
      <c r="AF46" s="4" t="s">
        <v>328</v>
      </c>
      <c r="AG46" s="4" t="s">
        <v>368</v>
      </c>
      <c r="AH46" s="4" t="s">
        <v>330</v>
      </c>
      <c r="AI46" s="4" t="s">
        <v>331</v>
      </c>
      <c r="AR46" s="4" t="s">
        <v>332</v>
      </c>
      <c r="AS46" s="4" t="s">
        <v>332</v>
      </c>
      <c r="AT46" s="4" t="s">
        <v>332</v>
      </c>
      <c r="AU46" s="4" t="s">
        <v>333</v>
      </c>
      <c r="AV46" s="4" t="n">
        <v>250</v>
      </c>
      <c r="AW46" s="4" t="n">
        <v>0</v>
      </c>
      <c r="AX46" s="4" t="n">
        <v>249.999984741211</v>
      </c>
      <c r="AY46" s="4" t="n">
        <v>0</v>
      </c>
      <c r="BB46" s="4" t="n">
        <v>800.644714355469</v>
      </c>
      <c r="BC46" s="4" t="n">
        <v>0</v>
      </c>
      <c r="BD46" s="4" t="n">
        <v>1213.19995117187</v>
      </c>
      <c r="BE46" s="4" t="n">
        <v>13.1999998092651</v>
      </c>
      <c r="BH46" s="4" t="n">
        <v>800.599975585937</v>
      </c>
      <c r="BI46" s="4" t="n">
        <v>-459.399993896484</v>
      </c>
      <c r="BJ46" s="4" t="n">
        <v>140</v>
      </c>
      <c r="BK46" s="4" t="n">
        <v>32</v>
      </c>
      <c r="BN46" s="4" t="n">
        <v>0.5</v>
      </c>
      <c r="BP46" s="4" t="n">
        <v>14.6499996185303</v>
      </c>
      <c r="BQ46" s="4" t="n">
        <v>60</v>
      </c>
      <c r="BR46" s="4" t="n">
        <v>13.1999998092651</v>
      </c>
      <c r="BV46" s="4" t="n">
        <v>1</v>
      </c>
      <c r="BW46" s="4" t="s">
        <v>334</v>
      </c>
      <c r="BY46" s="4" t="s">
        <v>333</v>
      </c>
      <c r="BZ46" s="4" t="s">
        <v>333</v>
      </c>
      <c r="CA46" s="4" t="s">
        <v>333</v>
      </c>
      <c r="CB46" s="4" t="s">
        <v>333</v>
      </c>
      <c r="CC46" s="4" t="s">
        <v>333</v>
      </c>
      <c r="CD46" s="4" t="s">
        <v>333</v>
      </c>
      <c r="CE46" s="4" t="s">
        <v>332</v>
      </c>
      <c r="CF46" s="4" t="s">
        <v>333</v>
      </c>
      <c r="CN46" s="4" t="n">
        <v>500</v>
      </c>
      <c r="CO46" s="4" t="n">
        <v>35</v>
      </c>
      <c r="CQ46" s="4" t="n">
        <v>1213</v>
      </c>
      <c r="CR46" s="4" t="n">
        <v>1.3</v>
      </c>
      <c r="CS46" s="21" t="n">
        <v>6.9E-006</v>
      </c>
      <c r="CT46" s="4" t="n">
        <v>0.7014</v>
      </c>
      <c r="CU46" s="4" t="s">
        <v>334</v>
      </c>
      <c r="CV46" s="169" t="n">
        <v>45065</v>
      </c>
      <c r="CW46" s="4" t="s">
        <v>328</v>
      </c>
      <c r="CX46" s="4" t="s">
        <v>350</v>
      </c>
      <c r="CY46" s="4" t="n">
        <v>73</v>
      </c>
      <c r="CZ46" s="4" t="n">
        <v>200</v>
      </c>
      <c r="DB46" s="4" t="s">
        <v>386</v>
      </c>
      <c r="DC46" s="4" t="s">
        <v>426</v>
      </c>
      <c r="DD46" s="4" t="s">
        <v>355</v>
      </c>
      <c r="DF46" s="4" t="n">
        <v>0.419</v>
      </c>
      <c r="DG46" s="4" t="n">
        <v>0.77</v>
      </c>
      <c r="DH46" s="4" t="n">
        <v>82.547</v>
      </c>
      <c r="DI46" s="4" t="n">
        <v>8.933</v>
      </c>
      <c r="DJ46" s="4" t="n">
        <v>4.244</v>
      </c>
      <c r="DK46" s="4" t="n">
        <v>0.497</v>
      </c>
      <c r="DL46" s="4" t="n">
        <v>1.429</v>
      </c>
      <c r="DM46" s="4" t="n">
        <v>0.306</v>
      </c>
      <c r="DN46" s="4" t="n">
        <v>0.393</v>
      </c>
      <c r="DO46" s="4" t="n">
        <v>0.462</v>
      </c>
      <c r="EQ46" s="4" t="s">
        <v>335</v>
      </c>
    </row>
    <row r="47" customFormat="false" ht="15.75" hidden="false" customHeight="true" outlineLevel="0" collapsed="false">
      <c r="A47" s="169" t="n">
        <v>45047.375</v>
      </c>
      <c r="B47" s="169" t="n">
        <v>45078.375</v>
      </c>
      <c r="C47" s="4" t="s">
        <v>75</v>
      </c>
      <c r="D47" s="4" t="s">
        <v>427</v>
      </c>
      <c r="E47" s="4" t="n">
        <v>24409.81</v>
      </c>
      <c r="F47" s="4" t="n">
        <v>29755.56</v>
      </c>
      <c r="G47" s="4" t="n">
        <v>118.969310714865</v>
      </c>
      <c r="I47" s="4" t="n">
        <v>51.0619260629611</v>
      </c>
      <c r="J47" s="4" t="n">
        <v>82.8667216876883</v>
      </c>
      <c r="K47" s="4" t="n">
        <v>43584.3</v>
      </c>
      <c r="L47" s="4" t="n">
        <v>3.29996378072189</v>
      </c>
      <c r="N47" s="4" t="n">
        <v>1.00332304118308</v>
      </c>
      <c r="P47" s="4" t="s">
        <v>324</v>
      </c>
      <c r="Q47" s="4" t="s">
        <v>325</v>
      </c>
      <c r="T47" s="4" t="s">
        <v>326</v>
      </c>
      <c r="U47" s="4" t="s">
        <v>75</v>
      </c>
      <c r="V47" s="170" t="n">
        <v>43969</v>
      </c>
      <c r="W47" s="4" t="n">
        <v>1</v>
      </c>
      <c r="X47" s="4" t="n">
        <v>9</v>
      </c>
      <c r="AA47" s="4" t="n">
        <v>1.375</v>
      </c>
      <c r="AB47" s="4" t="n">
        <v>68</v>
      </c>
      <c r="AC47" s="4" t="s">
        <v>327</v>
      </c>
      <c r="AD47" s="4" t="n">
        <v>4.02600002288818</v>
      </c>
      <c r="AE47" s="4" t="n">
        <v>68</v>
      </c>
      <c r="AF47" s="4" t="s">
        <v>328</v>
      </c>
      <c r="AG47" s="4" t="s">
        <v>329</v>
      </c>
      <c r="AH47" s="4" t="s">
        <v>330</v>
      </c>
      <c r="AI47" s="4" t="s">
        <v>331</v>
      </c>
      <c r="AR47" s="4" t="s">
        <v>332</v>
      </c>
      <c r="AS47" s="4" t="s">
        <v>332</v>
      </c>
      <c r="AT47" s="4" t="s">
        <v>332</v>
      </c>
      <c r="AU47" s="4" t="s">
        <v>333</v>
      </c>
      <c r="AV47" s="4" t="n">
        <v>2047</v>
      </c>
      <c r="AW47" s="4" t="n">
        <v>0</v>
      </c>
      <c r="AX47" s="4" t="n">
        <v>400</v>
      </c>
      <c r="AY47" s="4" t="n">
        <v>0</v>
      </c>
      <c r="BB47" s="4" t="n">
        <v>2047.96875</v>
      </c>
      <c r="BC47" s="4" t="n">
        <v>0</v>
      </c>
      <c r="BD47" s="4" t="n">
        <v>1513.19995117187</v>
      </c>
      <c r="BE47" s="4" t="n">
        <v>13.1999998092651</v>
      </c>
      <c r="BH47" s="4" t="n">
        <v>420</v>
      </c>
      <c r="BI47" s="4" t="n">
        <v>0</v>
      </c>
      <c r="BN47" s="4" t="n">
        <v>0.5</v>
      </c>
      <c r="BO47" s="4" t="n">
        <v>-3</v>
      </c>
      <c r="BP47" s="4" t="n">
        <v>14.6499996185303</v>
      </c>
      <c r="BQ47" s="4" t="n">
        <v>60</v>
      </c>
      <c r="BR47" s="4" t="n">
        <v>13.1999998092651</v>
      </c>
      <c r="BV47" s="4" t="n">
        <v>1</v>
      </c>
      <c r="BW47" s="4" t="s">
        <v>334</v>
      </c>
      <c r="BX47" s="4" t="n">
        <v>60</v>
      </c>
      <c r="BY47" s="4" t="s">
        <v>332</v>
      </c>
      <c r="BZ47" s="4" t="s">
        <v>332</v>
      </c>
      <c r="CA47" s="4" t="s">
        <v>332</v>
      </c>
      <c r="CB47" s="4" t="s">
        <v>333</v>
      </c>
      <c r="CC47" s="4" t="s">
        <v>332</v>
      </c>
      <c r="CD47" s="4" t="s">
        <v>332</v>
      </c>
      <c r="CE47" s="4" t="s">
        <v>332</v>
      </c>
      <c r="CF47" s="4" t="s">
        <v>333</v>
      </c>
      <c r="CK47" s="169" t="n">
        <v>43531.5672222222</v>
      </c>
      <c r="CQ47" s="4" t="n">
        <v>1219</v>
      </c>
      <c r="CR47" s="4" t="n">
        <v>1.3</v>
      </c>
      <c r="CS47" s="21" t="n">
        <v>6.9E-006</v>
      </c>
      <c r="CT47" s="4" t="n">
        <v>0.7004</v>
      </c>
      <c r="CU47" s="4" t="s">
        <v>334</v>
      </c>
      <c r="CV47" s="169" t="n">
        <v>45064</v>
      </c>
      <c r="CW47" s="4" t="s">
        <v>328</v>
      </c>
      <c r="CX47" s="4" t="s">
        <v>350</v>
      </c>
      <c r="CY47" s="4" t="n">
        <v>92</v>
      </c>
      <c r="CZ47" s="4" t="n">
        <v>30</v>
      </c>
      <c r="DB47" s="4" t="s">
        <v>363</v>
      </c>
      <c r="DC47" s="4" t="s">
        <v>428</v>
      </c>
      <c r="DD47" s="4" t="s">
        <v>360</v>
      </c>
      <c r="DF47" s="4" t="n">
        <v>0.226</v>
      </c>
      <c r="DG47" s="4" t="n">
        <v>0.596</v>
      </c>
      <c r="DH47" s="4" t="n">
        <v>84.175</v>
      </c>
      <c r="DI47" s="4" t="n">
        <v>7.74</v>
      </c>
      <c r="DJ47" s="4" t="n">
        <v>3.77</v>
      </c>
      <c r="DK47" s="4" t="n">
        <v>0.51</v>
      </c>
      <c r="DL47" s="4" t="n">
        <v>1.289</v>
      </c>
      <c r="DM47" s="4" t="n">
        <v>0.342</v>
      </c>
      <c r="DN47" s="4" t="n">
        <v>0.414</v>
      </c>
      <c r="DO47" s="4" t="n">
        <v>0.938</v>
      </c>
      <c r="EQ47" s="4" t="s">
        <v>335</v>
      </c>
      <c r="FR47" s="4" t="s">
        <v>395</v>
      </c>
    </row>
    <row r="48" customFormat="false" ht="15.75" hidden="false" customHeight="true" outlineLevel="0" collapsed="false">
      <c r="A48" s="169" t="n">
        <v>45047.375</v>
      </c>
      <c r="B48" s="169" t="n">
        <v>45078.375</v>
      </c>
      <c r="C48" s="4" t="s">
        <v>76</v>
      </c>
      <c r="D48" s="4" t="s">
        <v>429</v>
      </c>
      <c r="E48" s="4" t="n">
        <v>45054.18</v>
      </c>
      <c r="F48" s="4" t="n">
        <v>55281.48</v>
      </c>
      <c r="G48" s="4" t="n">
        <v>82.3346032201272</v>
      </c>
      <c r="I48" s="4" t="n">
        <v>49.5570783675895</v>
      </c>
      <c r="J48" s="4" t="n">
        <v>85.566671841253</v>
      </c>
      <c r="K48" s="4" t="n">
        <v>44105.3</v>
      </c>
      <c r="L48" s="4" t="n">
        <v>2.70582873284359</v>
      </c>
      <c r="N48" s="4" t="n">
        <v>1.00313031142734</v>
      </c>
      <c r="P48" s="4" t="s">
        <v>324</v>
      </c>
      <c r="Q48" s="4" t="s">
        <v>325</v>
      </c>
      <c r="T48" s="4" t="s">
        <v>326</v>
      </c>
      <c r="U48" s="4" t="s">
        <v>76</v>
      </c>
      <c r="V48" s="170" t="n">
        <v>44070</v>
      </c>
      <c r="W48" s="4" t="n">
        <v>1</v>
      </c>
      <c r="X48" s="4" t="n">
        <v>9</v>
      </c>
      <c r="AA48" s="4" t="n">
        <v>2</v>
      </c>
      <c r="AB48" s="4" t="n">
        <v>68</v>
      </c>
      <c r="AC48" s="4" t="s">
        <v>327</v>
      </c>
      <c r="AD48" s="4" t="n">
        <v>4.02600002288818</v>
      </c>
      <c r="AE48" s="4" t="n">
        <v>68</v>
      </c>
      <c r="AF48" s="4" t="s">
        <v>328</v>
      </c>
      <c r="AG48" s="4" t="s">
        <v>329</v>
      </c>
      <c r="AH48" s="4" t="s">
        <v>330</v>
      </c>
      <c r="AI48" s="4" t="s">
        <v>331</v>
      </c>
      <c r="AR48" s="4" t="s">
        <v>332</v>
      </c>
      <c r="AS48" s="4" t="s">
        <v>332</v>
      </c>
      <c r="AT48" s="4" t="s">
        <v>332</v>
      </c>
      <c r="AU48" s="4" t="s">
        <v>333</v>
      </c>
      <c r="AV48" s="4" t="n">
        <v>2047</v>
      </c>
      <c r="AW48" s="4" t="n">
        <v>0</v>
      </c>
      <c r="AX48" s="4" t="n">
        <v>400</v>
      </c>
      <c r="AY48" s="4" t="n">
        <v>0</v>
      </c>
      <c r="BB48" s="4" t="n">
        <v>2047.96875</v>
      </c>
      <c r="BC48" s="4" t="n">
        <v>0</v>
      </c>
      <c r="BD48" s="4" t="n">
        <v>1513.19995117187</v>
      </c>
      <c r="BE48" s="4" t="n">
        <v>13.1999998092651</v>
      </c>
      <c r="BH48" s="4" t="n">
        <v>420</v>
      </c>
      <c r="BI48" s="4" t="n">
        <v>0</v>
      </c>
      <c r="BN48" s="4" t="n">
        <v>0.5</v>
      </c>
      <c r="BO48" s="4" t="n">
        <v>-3</v>
      </c>
      <c r="BP48" s="4" t="n">
        <v>14.6499996185303</v>
      </c>
      <c r="BQ48" s="4" t="n">
        <v>60</v>
      </c>
      <c r="BR48" s="4" t="n">
        <v>13.1999998092651</v>
      </c>
      <c r="BV48" s="4" t="n">
        <v>1</v>
      </c>
      <c r="BW48" s="4" t="s">
        <v>334</v>
      </c>
      <c r="BX48" s="4" t="n">
        <v>60</v>
      </c>
      <c r="BY48" s="4" t="s">
        <v>332</v>
      </c>
      <c r="BZ48" s="4" t="s">
        <v>332</v>
      </c>
      <c r="CA48" s="4" t="s">
        <v>332</v>
      </c>
      <c r="CB48" s="4" t="s">
        <v>333</v>
      </c>
      <c r="CC48" s="4" t="s">
        <v>332</v>
      </c>
      <c r="CD48" s="4" t="s">
        <v>332</v>
      </c>
      <c r="CE48" s="4" t="s">
        <v>332</v>
      </c>
      <c r="CF48" s="4" t="s">
        <v>333</v>
      </c>
      <c r="CK48" s="169" t="n">
        <v>44763.5364583333</v>
      </c>
      <c r="CL48" s="169" t="n">
        <v>44763.5364583333</v>
      </c>
      <c r="CQ48" s="4" t="n">
        <v>1227</v>
      </c>
      <c r="CR48" s="4" t="n">
        <v>1.3</v>
      </c>
      <c r="CS48" s="21" t="n">
        <v>6.9E-006</v>
      </c>
      <c r="CT48" s="4" t="n">
        <v>0.7042</v>
      </c>
      <c r="CU48" s="4" t="s">
        <v>334</v>
      </c>
      <c r="CV48" s="169" t="n">
        <v>45064</v>
      </c>
      <c r="CW48" s="4" t="s">
        <v>328</v>
      </c>
      <c r="CX48" s="4" t="s">
        <v>340</v>
      </c>
      <c r="CY48" s="4" t="n">
        <v>97</v>
      </c>
      <c r="CZ48" s="4" t="n">
        <v>30</v>
      </c>
      <c r="DB48" s="4" t="s">
        <v>363</v>
      </c>
      <c r="DC48" s="4" t="s">
        <v>430</v>
      </c>
      <c r="DD48" s="4" t="s">
        <v>360</v>
      </c>
      <c r="DF48" s="4" t="n">
        <v>0.121</v>
      </c>
      <c r="DG48" s="4" t="n">
        <v>0.673</v>
      </c>
      <c r="DH48" s="4" t="n">
        <v>84.205</v>
      </c>
      <c r="DI48" s="4" t="n">
        <v>7.615</v>
      </c>
      <c r="DJ48" s="4" t="n">
        <v>3.665</v>
      </c>
      <c r="DK48" s="4" t="n">
        <v>0.5</v>
      </c>
      <c r="DL48" s="4" t="n">
        <v>1.279</v>
      </c>
      <c r="DM48" s="4" t="n">
        <v>0.353</v>
      </c>
      <c r="DN48" s="4" t="n">
        <v>0.431</v>
      </c>
      <c r="DO48" s="4" t="n">
        <v>1.158</v>
      </c>
      <c r="EQ48" s="4" t="s">
        <v>335</v>
      </c>
      <c r="FR48" s="4" t="s">
        <v>395</v>
      </c>
    </row>
    <row r="49" customFormat="false" ht="15.75" hidden="false" customHeight="true" outlineLevel="0" collapsed="false">
      <c r="A49" s="169" t="n">
        <v>45047.375</v>
      </c>
      <c r="B49" s="169" t="n">
        <v>45078.375</v>
      </c>
      <c r="C49" s="4" t="s">
        <v>77</v>
      </c>
      <c r="D49" s="4" t="s">
        <v>431</v>
      </c>
      <c r="E49" s="4" t="n">
        <v>300611.73</v>
      </c>
      <c r="F49" s="4" t="n">
        <v>365543.87</v>
      </c>
      <c r="G49" s="4" t="n">
        <v>50.0769446372333</v>
      </c>
      <c r="I49" s="4" t="n">
        <v>1081.55375682149</v>
      </c>
      <c r="J49" s="4" t="n">
        <v>103.890276618182</v>
      </c>
      <c r="K49" s="4" t="n">
        <v>44573.7833333333</v>
      </c>
      <c r="L49" s="4" t="n">
        <v>9.63698257248528</v>
      </c>
      <c r="N49" s="4" t="n">
        <v>1.09706321786368</v>
      </c>
      <c r="P49" s="4" t="s">
        <v>324</v>
      </c>
      <c r="Q49" s="4" t="s">
        <v>325</v>
      </c>
      <c r="T49" s="4" t="s">
        <v>326</v>
      </c>
      <c r="U49" s="4" t="s">
        <v>77</v>
      </c>
      <c r="V49" s="170" t="n">
        <v>43502</v>
      </c>
      <c r="W49" s="4" t="n">
        <v>1</v>
      </c>
      <c r="X49" s="4" t="n">
        <v>9</v>
      </c>
      <c r="AA49" s="4" t="n">
        <v>2.625</v>
      </c>
      <c r="AB49" s="4" t="n">
        <v>68</v>
      </c>
      <c r="AC49" s="4" t="s">
        <v>327</v>
      </c>
      <c r="AD49" s="4" t="n">
        <v>5.75899982452393</v>
      </c>
      <c r="AE49" s="4" t="n">
        <v>68</v>
      </c>
      <c r="AF49" s="4" t="s">
        <v>328</v>
      </c>
      <c r="AG49" s="4" t="s">
        <v>329</v>
      </c>
      <c r="AH49" s="4" t="s">
        <v>330</v>
      </c>
      <c r="AI49" s="4" t="s">
        <v>331</v>
      </c>
      <c r="AR49" s="4" t="s">
        <v>332</v>
      </c>
      <c r="AS49" s="4" t="s">
        <v>332</v>
      </c>
      <c r="AT49" s="4" t="s">
        <v>332</v>
      </c>
      <c r="AU49" s="4" t="s">
        <v>333</v>
      </c>
      <c r="AV49" s="4" t="n">
        <v>2047</v>
      </c>
      <c r="AW49" s="4" t="n">
        <v>0</v>
      </c>
      <c r="AX49" s="4" t="n">
        <v>400</v>
      </c>
      <c r="AY49" s="4" t="n">
        <v>0</v>
      </c>
      <c r="BB49" s="4" t="n">
        <v>2047</v>
      </c>
      <c r="BC49" s="4" t="n">
        <v>0</v>
      </c>
      <c r="BD49" s="4" t="n">
        <v>1514.72998046875</v>
      </c>
      <c r="BE49" s="4" t="n">
        <v>14.7299995422363</v>
      </c>
      <c r="BH49" s="4" t="n">
        <v>420</v>
      </c>
      <c r="BI49" s="4" t="n">
        <v>0</v>
      </c>
      <c r="BN49" s="4" t="n">
        <v>0.5</v>
      </c>
      <c r="BO49" s="4" t="n">
        <v>-3</v>
      </c>
      <c r="BP49" s="4" t="n">
        <v>14.6499996185303</v>
      </c>
      <c r="BQ49" s="4" t="n">
        <v>60</v>
      </c>
      <c r="BR49" s="4" t="n">
        <v>13.1999998092651</v>
      </c>
      <c r="BV49" s="4" t="n">
        <v>1</v>
      </c>
      <c r="BW49" s="4" t="s">
        <v>334</v>
      </c>
      <c r="BX49" s="4" t="n">
        <v>60</v>
      </c>
      <c r="BY49" s="4" t="s">
        <v>332</v>
      </c>
      <c r="BZ49" s="4" t="s">
        <v>332</v>
      </c>
      <c r="CA49" s="4" t="s">
        <v>332</v>
      </c>
      <c r="CB49" s="4" t="s">
        <v>333</v>
      </c>
      <c r="CC49" s="4" t="s">
        <v>332</v>
      </c>
      <c r="CD49" s="4" t="s">
        <v>332</v>
      </c>
      <c r="CE49" s="4" t="s">
        <v>332</v>
      </c>
      <c r="CF49" s="4" t="s">
        <v>333</v>
      </c>
      <c r="CK49" s="169" t="n">
        <v>43531.5672222222</v>
      </c>
      <c r="CQ49" s="4" t="n">
        <v>1216</v>
      </c>
      <c r="CR49" s="4" t="n">
        <v>1.3</v>
      </c>
      <c r="CS49" s="21" t="n">
        <v>6.9E-006</v>
      </c>
      <c r="CT49" s="4" t="n">
        <v>0.698</v>
      </c>
      <c r="CU49" s="4" t="s">
        <v>334</v>
      </c>
      <c r="CV49" s="169" t="n">
        <v>45070</v>
      </c>
      <c r="CW49" s="4" t="s">
        <v>328</v>
      </c>
      <c r="CX49" s="4" t="s">
        <v>350</v>
      </c>
      <c r="CY49" s="4" t="n">
        <v>93</v>
      </c>
      <c r="CZ49" s="4" t="n">
        <v>450</v>
      </c>
      <c r="DB49" s="4" t="s">
        <v>386</v>
      </c>
      <c r="DC49" s="4" t="s">
        <v>432</v>
      </c>
      <c r="DD49" s="4" t="s">
        <v>360</v>
      </c>
      <c r="DF49" s="4" t="n">
        <v>0.182</v>
      </c>
      <c r="DG49" s="4" t="n">
        <v>0.667</v>
      </c>
      <c r="DH49" s="4" t="n">
        <v>84.115</v>
      </c>
      <c r="DI49" s="4" t="n">
        <v>7.703</v>
      </c>
      <c r="DJ49" s="4" t="n">
        <v>3.801</v>
      </c>
      <c r="DK49" s="4" t="n">
        <v>0.53</v>
      </c>
      <c r="DL49" s="4" t="n">
        <v>1.449</v>
      </c>
      <c r="DM49" s="4" t="n">
        <v>0.406</v>
      </c>
      <c r="DN49" s="4" t="n">
        <v>0.511</v>
      </c>
      <c r="DO49" s="4" t="n">
        <v>0.636</v>
      </c>
      <c r="EQ49" s="4" t="s">
        <v>335</v>
      </c>
      <c r="FR49" s="4" t="s">
        <v>369</v>
      </c>
    </row>
    <row r="50" customFormat="false" ht="15.75" hidden="false" customHeight="true" outlineLevel="0" collapsed="false">
      <c r="A50" s="169" t="n">
        <v>45047.375</v>
      </c>
      <c r="B50" s="169" t="n">
        <v>45078.375</v>
      </c>
      <c r="C50" s="4" t="s">
        <v>78</v>
      </c>
      <c r="D50" s="4" t="s">
        <v>433</v>
      </c>
      <c r="E50" s="4" t="n">
        <v>187564.33</v>
      </c>
      <c r="F50" s="4" t="n">
        <v>235768.36</v>
      </c>
      <c r="G50" s="4" t="n">
        <v>55.3538803689573</v>
      </c>
      <c r="I50" s="4" t="n">
        <v>1010.776796584</v>
      </c>
      <c r="J50" s="4" t="n">
        <v>85.8545616006886</v>
      </c>
      <c r="K50" s="4" t="n">
        <v>38699.3333333333</v>
      </c>
      <c r="L50" s="4" t="n">
        <v>9.96832214811731</v>
      </c>
      <c r="N50" s="4" t="n">
        <v>1.12377332934557</v>
      </c>
      <c r="P50" s="4" t="s">
        <v>324</v>
      </c>
      <c r="Q50" s="4" t="s">
        <v>325</v>
      </c>
      <c r="T50" s="4" t="s">
        <v>326</v>
      </c>
      <c r="U50" s="4" t="s">
        <v>78</v>
      </c>
      <c r="V50" s="170" t="n">
        <v>43770</v>
      </c>
      <c r="W50" s="4" t="n">
        <v>1</v>
      </c>
      <c r="X50" s="4" t="n">
        <v>9</v>
      </c>
      <c r="AA50" s="4" t="n">
        <v>2.125</v>
      </c>
      <c r="AB50" s="4" t="n">
        <v>68</v>
      </c>
      <c r="AC50" s="4" t="s">
        <v>327</v>
      </c>
      <c r="AD50" s="4" t="n">
        <v>3.82599997520447</v>
      </c>
      <c r="AE50" s="4" t="n">
        <v>68</v>
      </c>
      <c r="AF50" s="4" t="s">
        <v>328</v>
      </c>
      <c r="AG50" s="4" t="s">
        <v>329</v>
      </c>
      <c r="AH50" s="4" t="s">
        <v>330</v>
      </c>
      <c r="AI50" s="4" t="s">
        <v>331</v>
      </c>
      <c r="AR50" s="4" t="s">
        <v>332</v>
      </c>
      <c r="AS50" s="4" t="s">
        <v>332</v>
      </c>
      <c r="AT50" s="4" t="s">
        <v>332</v>
      </c>
      <c r="AU50" s="4" t="s">
        <v>333</v>
      </c>
      <c r="AV50" s="4" t="n">
        <v>2047</v>
      </c>
      <c r="AW50" s="4" t="n">
        <v>0</v>
      </c>
      <c r="AX50" s="4" t="n">
        <v>400</v>
      </c>
      <c r="AY50" s="4" t="n">
        <v>0</v>
      </c>
      <c r="BB50" s="4" t="n">
        <v>2047</v>
      </c>
      <c r="BC50" s="4" t="n">
        <v>0</v>
      </c>
      <c r="BD50" s="4" t="n">
        <v>1213.19995117187</v>
      </c>
      <c r="BE50" s="4" t="n">
        <v>13.1999998092651</v>
      </c>
      <c r="BH50" s="4" t="n">
        <v>420</v>
      </c>
      <c r="BI50" s="4" t="n">
        <v>0</v>
      </c>
      <c r="BN50" s="4" t="n">
        <v>0.5</v>
      </c>
      <c r="BO50" s="4" t="n">
        <v>-3</v>
      </c>
      <c r="BP50" s="4" t="n">
        <v>14.6499996185303</v>
      </c>
      <c r="BQ50" s="4" t="n">
        <v>60</v>
      </c>
      <c r="BR50" s="4" t="n">
        <v>13.1999998092651</v>
      </c>
      <c r="BV50" s="4" t="n">
        <v>1</v>
      </c>
      <c r="BW50" s="4" t="s">
        <v>334</v>
      </c>
      <c r="BX50" s="4" t="n">
        <v>60</v>
      </c>
      <c r="BY50" s="4" t="s">
        <v>332</v>
      </c>
      <c r="BZ50" s="4" t="s">
        <v>332</v>
      </c>
      <c r="CA50" s="4" t="s">
        <v>332</v>
      </c>
      <c r="CB50" s="4" t="s">
        <v>333</v>
      </c>
      <c r="CC50" s="4" t="s">
        <v>332</v>
      </c>
      <c r="CD50" s="4" t="s">
        <v>332</v>
      </c>
      <c r="CE50" s="4" t="s">
        <v>332</v>
      </c>
      <c r="CF50" s="4" t="s">
        <v>333</v>
      </c>
      <c r="CK50" s="169" t="n">
        <v>43531.5672222222</v>
      </c>
      <c r="CQ50" s="4" t="n">
        <v>1257</v>
      </c>
      <c r="CR50" s="4" t="n">
        <v>1.3</v>
      </c>
      <c r="CS50" s="21" t="n">
        <v>6.9E-006</v>
      </c>
      <c r="CT50" s="4" t="n">
        <v>0.7429</v>
      </c>
      <c r="CU50" s="4" t="s">
        <v>334</v>
      </c>
      <c r="CV50" s="169" t="n">
        <v>45067</v>
      </c>
      <c r="CW50" s="4" t="s">
        <v>328</v>
      </c>
      <c r="CX50" s="4" t="s">
        <v>340</v>
      </c>
      <c r="CY50" s="4" t="n">
        <v>73</v>
      </c>
      <c r="CZ50" s="4" t="n">
        <v>1500</v>
      </c>
      <c r="DB50" s="4" t="s">
        <v>386</v>
      </c>
      <c r="DC50" s="4" t="s">
        <v>399</v>
      </c>
      <c r="DD50" s="4" t="s">
        <v>355</v>
      </c>
      <c r="DF50" s="4" t="n">
        <v>0.412</v>
      </c>
      <c r="DG50" s="4" t="n">
        <v>1.991</v>
      </c>
      <c r="DH50" s="4" t="n">
        <v>79.423</v>
      </c>
      <c r="DI50" s="4" t="n">
        <v>8.872</v>
      </c>
      <c r="DJ50" s="4" t="n">
        <v>4.711</v>
      </c>
      <c r="DK50" s="4" t="n">
        <v>0.606</v>
      </c>
      <c r="DL50" s="4" t="n">
        <v>1.747</v>
      </c>
      <c r="DM50" s="4" t="n">
        <v>0.53</v>
      </c>
      <c r="DN50" s="4" t="n">
        <v>0.577</v>
      </c>
      <c r="DO50" s="4" t="n">
        <v>1.131</v>
      </c>
      <c r="EQ50" s="4" t="s">
        <v>335</v>
      </c>
      <c r="FR50" s="4" t="s">
        <v>404</v>
      </c>
    </row>
    <row r="51" customFormat="false" ht="15.75" hidden="false" customHeight="true" outlineLevel="0" collapsed="false">
      <c r="A51" s="169" t="n">
        <v>45047.375</v>
      </c>
      <c r="B51" s="169" t="n">
        <v>45078.375</v>
      </c>
      <c r="C51" s="4" t="s">
        <v>79</v>
      </c>
      <c r="D51" s="4" t="s">
        <v>434</v>
      </c>
      <c r="E51" s="4" t="n">
        <v>425503.15</v>
      </c>
      <c r="F51" s="4" t="n">
        <v>574003.75</v>
      </c>
      <c r="G51" s="4" t="n">
        <v>341.471043361735</v>
      </c>
      <c r="I51" s="4" t="n">
        <v>1078.86716495236</v>
      </c>
      <c r="J51" s="4" t="n">
        <v>102.10348821627</v>
      </c>
      <c r="K51" s="4" t="n">
        <v>41932.9666666667</v>
      </c>
      <c r="L51" s="4" t="n">
        <v>25.0082950198749</v>
      </c>
      <c r="N51" s="4" t="n">
        <v>1.15002342484455</v>
      </c>
      <c r="P51" s="4" t="s">
        <v>324</v>
      </c>
      <c r="Q51" s="4" t="s">
        <v>325</v>
      </c>
      <c r="T51" s="4" t="s">
        <v>326</v>
      </c>
      <c r="U51" s="4" t="s">
        <v>79</v>
      </c>
      <c r="V51" s="170" t="n">
        <v>44378</v>
      </c>
      <c r="W51" s="4" t="n">
        <v>1</v>
      </c>
      <c r="X51" s="4" t="n">
        <v>9</v>
      </c>
      <c r="AA51" s="4" t="n">
        <v>2</v>
      </c>
      <c r="AB51" s="4" t="n">
        <v>68</v>
      </c>
      <c r="AC51" s="4" t="s">
        <v>327</v>
      </c>
      <c r="AD51" s="4" t="n">
        <v>3.82599997520447</v>
      </c>
      <c r="AE51" s="4" t="n">
        <v>68</v>
      </c>
      <c r="AF51" s="4" t="s">
        <v>328</v>
      </c>
      <c r="AG51" s="4" t="s">
        <v>329</v>
      </c>
      <c r="AH51" s="4" t="s">
        <v>330</v>
      </c>
      <c r="AI51" s="4" t="s">
        <v>331</v>
      </c>
      <c r="AR51" s="4" t="s">
        <v>332</v>
      </c>
      <c r="AS51" s="4" t="s">
        <v>332</v>
      </c>
      <c r="AT51" s="4" t="s">
        <v>332</v>
      </c>
      <c r="AU51" s="4" t="s">
        <v>333</v>
      </c>
      <c r="AV51" s="4" t="n">
        <v>2047</v>
      </c>
      <c r="AW51" s="4" t="n">
        <v>0</v>
      </c>
      <c r="AX51" s="4" t="n">
        <v>400</v>
      </c>
      <c r="AY51" s="4" t="n">
        <v>0</v>
      </c>
      <c r="BB51" s="4" t="n">
        <v>2047.96875</v>
      </c>
      <c r="BC51" s="4" t="n">
        <v>0</v>
      </c>
      <c r="BD51" s="4" t="n">
        <v>1513.19995117187</v>
      </c>
      <c r="BE51" s="4" t="n">
        <v>13.1999998092651</v>
      </c>
      <c r="BH51" s="4" t="n">
        <v>420</v>
      </c>
      <c r="BI51" s="4" t="n">
        <v>0</v>
      </c>
      <c r="BN51" s="4" t="n">
        <v>0.5</v>
      </c>
      <c r="BO51" s="4" t="n">
        <v>-3</v>
      </c>
      <c r="BP51" s="4" t="n">
        <v>14.6499996185303</v>
      </c>
      <c r="BQ51" s="4" t="n">
        <v>60</v>
      </c>
      <c r="BR51" s="4" t="n">
        <v>13.1999998092651</v>
      </c>
      <c r="BV51" s="4" t="n">
        <v>1</v>
      </c>
      <c r="BW51" s="4" t="s">
        <v>334</v>
      </c>
      <c r="BX51" s="4" t="n">
        <v>60</v>
      </c>
      <c r="BY51" s="4" t="s">
        <v>332</v>
      </c>
      <c r="BZ51" s="4" t="s">
        <v>332</v>
      </c>
      <c r="CA51" s="4" t="s">
        <v>332</v>
      </c>
      <c r="CB51" s="4" t="s">
        <v>333</v>
      </c>
      <c r="CC51" s="4" t="s">
        <v>332</v>
      </c>
      <c r="CD51" s="4" t="s">
        <v>332</v>
      </c>
      <c r="CE51" s="4" t="s">
        <v>332</v>
      </c>
      <c r="CF51" s="4" t="s">
        <v>333</v>
      </c>
      <c r="CK51" s="169" t="n">
        <v>45012.6774074074</v>
      </c>
      <c r="CL51" s="169" t="n">
        <v>45012.6716319445</v>
      </c>
      <c r="CQ51" s="4" t="n">
        <v>1349</v>
      </c>
      <c r="CR51" s="4" t="n">
        <v>1.3</v>
      </c>
      <c r="CS51" s="21" t="n">
        <v>6.9E-006</v>
      </c>
      <c r="CT51" s="4" t="n">
        <v>0.7992</v>
      </c>
      <c r="CU51" s="4" t="s">
        <v>334</v>
      </c>
      <c r="CV51" s="169" t="n">
        <v>45069</v>
      </c>
      <c r="CW51" s="4" t="s">
        <v>328</v>
      </c>
      <c r="CX51" s="4" t="s">
        <v>340</v>
      </c>
      <c r="CY51" s="4" t="n">
        <v>101</v>
      </c>
      <c r="CZ51" s="4" t="n">
        <v>30</v>
      </c>
      <c r="DB51" s="4" t="s">
        <v>363</v>
      </c>
      <c r="DC51" s="4" t="s">
        <v>435</v>
      </c>
      <c r="DD51" s="4" t="s">
        <v>360</v>
      </c>
      <c r="DF51" s="4" t="n">
        <v>0.714</v>
      </c>
      <c r="DG51" s="4" t="n">
        <v>1.323</v>
      </c>
      <c r="DH51" s="4" t="n">
        <v>71.66</v>
      </c>
      <c r="DI51" s="4" t="n">
        <v>12.662</v>
      </c>
      <c r="DJ51" s="4" t="n">
        <v>8.253</v>
      </c>
      <c r="DK51" s="4" t="n">
        <v>0.986</v>
      </c>
      <c r="DL51" s="4" t="n">
        <v>2.889</v>
      </c>
      <c r="DM51" s="4" t="n">
        <v>0.538</v>
      </c>
      <c r="DN51" s="4" t="n">
        <v>0.574</v>
      </c>
      <c r="DO51" s="4" t="n">
        <v>0.401</v>
      </c>
      <c r="EQ51" s="4" t="s">
        <v>335</v>
      </c>
      <c r="FR51" s="4" t="s">
        <v>361</v>
      </c>
    </row>
    <row r="52" customFormat="false" ht="15.75" hidden="false" customHeight="true" outlineLevel="0" collapsed="false">
      <c r="A52" s="169" t="n">
        <v>45047.375</v>
      </c>
      <c r="B52" s="169" t="n">
        <v>45078.375</v>
      </c>
      <c r="C52" s="4" t="s">
        <v>80</v>
      </c>
      <c r="D52" s="4" t="s">
        <v>436</v>
      </c>
      <c r="E52" s="4" t="n">
        <v>0</v>
      </c>
      <c r="F52" s="4" t="n">
        <v>0</v>
      </c>
      <c r="G52" s="4" t="n">
        <v>0</v>
      </c>
      <c r="I52" s="4" t="n">
        <v>13.0581845275817</v>
      </c>
      <c r="J52" s="4" t="n">
        <v>79.8914801741159</v>
      </c>
      <c r="K52" s="4" t="n">
        <v>0</v>
      </c>
      <c r="L52" s="4" t="n">
        <v>0</v>
      </c>
      <c r="P52" s="4" t="s">
        <v>324</v>
      </c>
      <c r="Q52" s="4" t="s">
        <v>325</v>
      </c>
      <c r="T52" s="4" t="s">
        <v>326</v>
      </c>
      <c r="U52" s="4" t="s">
        <v>80</v>
      </c>
      <c r="V52" s="170" t="n">
        <v>44903</v>
      </c>
      <c r="W52" s="4" t="n">
        <v>1</v>
      </c>
      <c r="X52" s="4" t="n">
        <v>9</v>
      </c>
      <c r="AA52" s="4" t="n">
        <v>2</v>
      </c>
      <c r="AB52" s="4" t="n">
        <v>68</v>
      </c>
      <c r="AC52" s="4" t="s">
        <v>327</v>
      </c>
      <c r="AD52" s="4" t="n">
        <v>6.06500005722046</v>
      </c>
      <c r="AE52" s="4" t="n">
        <v>68</v>
      </c>
      <c r="AF52" s="4" t="s">
        <v>328</v>
      </c>
      <c r="AG52" s="4" t="s">
        <v>329</v>
      </c>
      <c r="AH52" s="4" t="s">
        <v>330</v>
      </c>
      <c r="AI52" s="4" t="s">
        <v>331</v>
      </c>
      <c r="AR52" s="4" t="s">
        <v>332</v>
      </c>
      <c r="AS52" s="4" t="s">
        <v>332</v>
      </c>
      <c r="AT52" s="4" t="s">
        <v>332</v>
      </c>
      <c r="AU52" s="4" t="s">
        <v>333</v>
      </c>
      <c r="AV52" s="4" t="n">
        <v>2047</v>
      </c>
      <c r="AW52" s="4" t="n">
        <v>0</v>
      </c>
      <c r="AX52" s="4" t="n">
        <v>400</v>
      </c>
      <c r="AY52" s="4" t="n">
        <v>0</v>
      </c>
      <c r="BB52" s="4" t="n">
        <v>2047</v>
      </c>
      <c r="BC52" s="4" t="n">
        <v>0</v>
      </c>
      <c r="BD52" s="4" t="n">
        <v>263.200012207031</v>
      </c>
      <c r="BE52" s="4" t="n">
        <v>13.1999998092651</v>
      </c>
      <c r="BH52" s="4" t="n">
        <v>420</v>
      </c>
      <c r="BI52" s="4" t="n">
        <v>0</v>
      </c>
      <c r="BN52" s="4" t="n">
        <v>0</v>
      </c>
      <c r="BO52" s="4" t="n">
        <v>-3</v>
      </c>
      <c r="BP52" s="4" t="n">
        <v>14.6499996185303</v>
      </c>
      <c r="BQ52" s="4" t="n">
        <v>60</v>
      </c>
      <c r="BR52" s="4" t="n">
        <v>13.1999998092651</v>
      </c>
      <c r="BV52" s="4" t="n">
        <v>1</v>
      </c>
      <c r="BW52" s="4" t="s">
        <v>334</v>
      </c>
      <c r="BX52" s="4" t="n">
        <v>60</v>
      </c>
      <c r="BY52" s="4" t="s">
        <v>332</v>
      </c>
      <c r="BZ52" s="4" t="s">
        <v>332</v>
      </c>
      <c r="CA52" s="4" t="s">
        <v>332</v>
      </c>
      <c r="CB52" s="4" t="s">
        <v>333</v>
      </c>
      <c r="CC52" s="4" t="s">
        <v>332</v>
      </c>
      <c r="CD52" s="4" t="s">
        <v>332</v>
      </c>
      <c r="CE52" s="4" t="s">
        <v>332</v>
      </c>
      <c r="CF52" s="4" t="s">
        <v>333</v>
      </c>
      <c r="CK52" s="169" t="n">
        <v>44904.4403587963</v>
      </c>
      <c r="CL52" s="169" t="n">
        <v>44903.552337963</v>
      </c>
      <c r="CQ52" s="4" t="n">
        <v>1000</v>
      </c>
      <c r="CR52" s="4" t="n">
        <v>1.29999995231628</v>
      </c>
      <c r="CS52" s="4" t="n">
        <v>0.0102679999545217</v>
      </c>
      <c r="CT52" s="4" t="n">
        <v>0.600000023841858</v>
      </c>
      <c r="CW52" s="4" t="s">
        <v>327</v>
      </c>
      <c r="DF52" s="4" t="n">
        <v>0</v>
      </c>
      <c r="DG52" s="4" t="n">
        <v>0</v>
      </c>
      <c r="DH52" s="4" t="n">
        <v>100</v>
      </c>
      <c r="DI52" s="4" t="n">
        <v>0</v>
      </c>
      <c r="DJ52" s="4" t="n">
        <v>0</v>
      </c>
      <c r="DK52" s="4" t="n">
        <v>0</v>
      </c>
      <c r="DL52" s="4" t="n">
        <v>0</v>
      </c>
      <c r="DM52" s="4" t="n">
        <v>0</v>
      </c>
      <c r="DN52" s="4" t="n">
        <v>0</v>
      </c>
      <c r="DO52" s="4" t="n">
        <v>0</v>
      </c>
      <c r="DQ52" s="4" t="n">
        <v>0</v>
      </c>
      <c r="DR52" s="4" t="n">
        <v>0</v>
      </c>
      <c r="DS52" s="4" t="n">
        <v>0</v>
      </c>
      <c r="DT52" s="4" t="n">
        <v>0</v>
      </c>
      <c r="DU52" s="4" t="n">
        <v>0</v>
      </c>
      <c r="DV52" s="4" t="n">
        <v>0</v>
      </c>
      <c r="DW52" s="4" t="n">
        <v>0</v>
      </c>
      <c r="DX52" s="4" t="n">
        <v>0</v>
      </c>
      <c r="DY52" s="4" t="n">
        <v>0</v>
      </c>
      <c r="DZ52" s="4" t="n">
        <v>0</v>
      </c>
      <c r="EA52" s="4" t="n">
        <v>0</v>
      </c>
      <c r="EQ52" s="4" t="s">
        <v>335</v>
      </c>
      <c r="FR52" s="4" t="s">
        <v>400</v>
      </c>
    </row>
    <row r="53" customFormat="false" ht="15.75" hidden="false" customHeight="true" outlineLevel="0" collapsed="false">
      <c r="A53" s="169" t="n">
        <v>45047.375</v>
      </c>
      <c r="B53" s="169" t="n">
        <v>45078.375</v>
      </c>
      <c r="C53" s="4" t="s">
        <v>14</v>
      </c>
      <c r="D53" s="4" t="s">
        <v>437</v>
      </c>
      <c r="E53" s="4" t="n">
        <v>226763.72</v>
      </c>
      <c r="F53" s="4" t="n">
        <v>279599.66</v>
      </c>
      <c r="G53" s="4" t="n">
        <v>69.8588390288973</v>
      </c>
      <c r="I53" s="4" t="n">
        <v>76.7475360866855</v>
      </c>
      <c r="J53" s="4" t="n">
        <v>81.8026421480001</v>
      </c>
      <c r="K53" s="4" t="n">
        <v>44613.95</v>
      </c>
      <c r="L53" s="4" t="n">
        <v>3.08838964778557</v>
      </c>
      <c r="N53" s="4" t="n">
        <v>1.00635727388926</v>
      </c>
      <c r="P53" s="4" t="s">
        <v>324</v>
      </c>
      <c r="Q53" s="4" t="s">
        <v>325</v>
      </c>
      <c r="T53" s="4" t="s">
        <v>326</v>
      </c>
      <c r="U53" s="4" t="s">
        <v>14</v>
      </c>
      <c r="V53" s="170" t="n">
        <v>43936</v>
      </c>
      <c r="W53" s="4" t="n">
        <v>1</v>
      </c>
      <c r="X53" s="4" t="n">
        <v>9</v>
      </c>
      <c r="AA53" s="4" t="n">
        <v>4</v>
      </c>
      <c r="AB53" s="4" t="n">
        <v>68</v>
      </c>
      <c r="AC53" s="4" t="s">
        <v>327</v>
      </c>
      <c r="AD53" s="4" t="n">
        <v>5.76100015640259</v>
      </c>
      <c r="AE53" s="4" t="n">
        <v>68</v>
      </c>
      <c r="AF53" s="4" t="s">
        <v>328</v>
      </c>
      <c r="AG53" s="4" t="s">
        <v>329</v>
      </c>
      <c r="AH53" s="4" t="s">
        <v>330</v>
      </c>
      <c r="AI53" s="4" t="s">
        <v>331</v>
      </c>
      <c r="AR53" s="4" t="s">
        <v>332</v>
      </c>
      <c r="AS53" s="4" t="s">
        <v>332</v>
      </c>
      <c r="AT53" s="4" t="s">
        <v>332</v>
      </c>
      <c r="AU53" s="4" t="s">
        <v>333</v>
      </c>
      <c r="AV53" s="4" t="n">
        <v>2047</v>
      </c>
      <c r="AW53" s="4" t="n">
        <v>0</v>
      </c>
      <c r="AX53" s="4" t="n">
        <v>400</v>
      </c>
      <c r="AY53" s="4" t="n">
        <v>0</v>
      </c>
      <c r="BB53" s="4" t="n">
        <v>2047</v>
      </c>
      <c r="BC53" s="4" t="n">
        <v>0</v>
      </c>
      <c r="BD53" s="4" t="n">
        <v>1514.72998046875</v>
      </c>
      <c r="BE53" s="4" t="n">
        <v>14.7299995422363</v>
      </c>
      <c r="BH53" s="4" t="n">
        <v>420</v>
      </c>
      <c r="BI53" s="4" t="n">
        <v>0</v>
      </c>
      <c r="BN53" s="4" t="n">
        <v>0.5</v>
      </c>
      <c r="BO53" s="4" t="n">
        <v>-3</v>
      </c>
      <c r="BP53" s="4" t="n">
        <v>14.6499996185303</v>
      </c>
      <c r="BQ53" s="4" t="n">
        <v>60</v>
      </c>
      <c r="BR53" s="4" t="n">
        <v>13.1999998092651</v>
      </c>
      <c r="BV53" s="4" t="n">
        <v>1</v>
      </c>
      <c r="BW53" s="4" t="s">
        <v>334</v>
      </c>
      <c r="BX53" s="4" t="n">
        <v>60</v>
      </c>
      <c r="BY53" s="4" t="s">
        <v>332</v>
      </c>
      <c r="BZ53" s="4" t="s">
        <v>332</v>
      </c>
      <c r="CA53" s="4" t="s">
        <v>332</v>
      </c>
      <c r="CB53" s="4" t="s">
        <v>333</v>
      </c>
      <c r="CC53" s="4" t="s">
        <v>332</v>
      </c>
      <c r="CD53" s="4" t="s">
        <v>332</v>
      </c>
      <c r="CE53" s="4" t="s">
        <v>332</v>
      </c>
      <c r="CF53" s="4" t="s">
        <v>333</v>
      </c>
      <c r="CK53" s="169" t="n">
        <v>43531.5672222222</v>
      </c>
      <c r="CQ53" s="4" t="n">
        <v>1233</v>
      </c>
      <c r="CR53" s="4" t="n">
        <v>1.3</v>
      </c>
      <c r="CS53" s="21" t="n">
        <v>6.9E-006</v>
      </c>
      <c r="CT53" s="4" t="n">
        <v>0.735</v>
      </c>
      <c r="CU53" s="4" t="s">
        <v>334</v>
      </c>
      <c r="CV53" s="169" t="n">
        <v>45066</v>
      </c>
      <c r="CW53" s="4" t="s">
        <v>328</v>
      </c>
      <c r="CX53" s="4" t="s">
        <v>350</v>
      </c>
      <c r="CY53" s="4" t="n">
        <v>76</v>
      </c>
      <c r="CZ53" s="4" t="n">
        <v>30</v>
      </c>
      <c r="DB53" s="4" t="s">
        <v>363</v>
      </c>
      <c r="DC53" s="4" t="s">
        <v>438</v>
      </c>
      <c r="DD53" s="4" t="s">
        <v>365</v>
      </c>
      <c r="DF53" s="4" t="n">
        <v>1.455</v>
      </c>
      <c r="DG53" s="4" t="n">
        <v>1.173</v>
      </c>
      <c r="DH53" s="4" t="n">
        <v>78.171</v>
      </c>
      <c r="DI53" s="4" t="n">
        <v>10.944</v>
      </c>
      <c r="DJ53" s="4" t="n">
        <v>4.824</v>
      </c>
      <c r="DK53" s="4" t="n">
        <v>0.675</v>
      </c>
      <c r="DL53" s="4" t="n">
        <v>1.477</v>
      </c>
      <c r="DM53" s="4" t="n">
        <v>0.355</v>
      </c>
      <c r="DN53" s="4" t="n">
        <v>0.375</v>
      </c>
      <c r="DO53" s="4" t="n">
        <v>0.551</v>
      </c>
      <c r="EQ53" s="4" t="s">
        <v>335</v>
      </c>
      <c r="FR53" s="4" t="s">
        <v>369</v>
      </c>
    </row>
    <row r="54" customFormat="false" ht="15.75" hidden="false" customHeight="true" outlineLevel="0" collapsed="false">
      <c r="A54" s="169" t="n">
        <v>45047.375</v>
      </c>
      <c r="B54" s="169" t="n">
        <v>45078.375</v>
      </c>
      <c r="C54" s="4" t="s">
        <v>81</v>
      </c>
      <c r="D54" s="4" t="s">
        <v>439</v>
      </c>
      <c r="E54" s="4" t="n">
        <v>51042.07</v>
      </c>
      <c r="F54" s="4" t="n">
        <v>72326.62</v>
      </c>
      <c r="G54" s="4" t="n">
        <v>47.1378978487552</v>
      </c>
      <c r="I54" s="4" t="n">
        <v>60.0657130651393</v>
      </c>
      <c r="J54" s="4" t="n">
        <v>86.4286313256076</v>
      </c>
      <c r="K54" s="4" t="n">
        <v>44546.3</v>
      </c>
      <c r="L54" s="4" t="n">
        <v>2.22757523556525</v>
      </c>
      <c r="N54" s="4" t="n">
        <v>1.00609385643833</v>
      </c>
      <c r="P54" s="4" t="s">
        <v>324</v>
      </c>
      <c r="Q54" s="4" t="s">
        <v>325</v>
      </c>
      <c r="T54" s="4" t="s">
        <v>326</v>
      </c>
      <c r="U54" s="4" t="s">
        <v>81</v>
      </c>
      <c r="V54" s="170" t="n">
        <v>44300</v>
      </c>
      <c r="W54" s="4" t="n">
        <v>1</v>
      </c>
      <c r="X54" s="4" t="n">
        <v>9</v>
      </c>
      <c r="AA54" s="4" t="n">
        <v>2.5</v>
      </c>
      <c r="AB54" s="4" t="n">
        <v>68</v>
      </c>
      <c r="AC54" s="4" t="s">
        <v>327</v>
      </c>
      <c r="AD54" s="4" t="n">
        <v>7.625</v>
      </c>
      <c r="AE54" s="4" t="n">
        <v>68</v>
      </c>
      <c r="AF54" s="4" t="s">
        <v>328</v>
      </c>
      <c r="AG54" s="4" t="s">
        <v>329</v>
      </c>
      <c r="AH54" s="4" t="s">
        <v>330</v>
      </c>
      <c r="AI54" s="4" t="s">
        <v>331</v>
      </c>
      <c r="AR54" s="4" t="s">
        <v>332</v>
      </c>
      <c r="AS54" s="4" t="s">
        <v>332</v>
      </c>
      <c r="AT54" s="4" t="s">
        <v>332</v>
      </c>
      <c r="AU54" s="4" t="s">
        <v>333</v>
      </c>
      <c r="AV54" s="4" t="n">
        <v>2047</v>
      </c>
      <c r="AW54" s="4" t="n">
        <v>0</v>
      </c>
      <c r="AX54" s="4" t="n">
        <v>800.005126953125</v>
      </c>
      <c r="AY54" s="4" t="n">
        <v>-0.000477757945191115</v>
      </c>
      <c r="BB54" s="4" t="n">
        <v>2047.96875</v>
      </c>
      <c r="BC54" s="4" t="n">
        <v>0</v>
      </c>
      <c r="BD54" s="4" t="n">
        <v>1514.35717773437</v>
      </c>
      <c r="BE54" s="4" t="n">
        <v>14.3491878509521</v>
      </c>
      <c r="BH54" s="4" t="n">
        <v>420</v>
      </c>
      <c r="BI54" s="4" t="n">
        <v>0</v>
      </c>
      <c r="BN54" s="4" t="n">
        <v>0.5</v>
      </c>
      <c r="BO54" s="4" t="n">
        <v>-3</v>
      </c>
      <c r="BP54" s="4" t="n">
        <v>14.6499996185303</v>
      </c>
      <c r="BQ54" s="4" t="n">
        <v>60</v>
      </c>
      <c r="BR54" s="4" t="n">
        <v>13.1999998092651</v>
      </c>
      <c r="BV54" s="4" t="n">
        <v>1</v>
      </c>
      <c r="BW54" s="4" t="s">
        <v>334</v>
      </c>
      <c r="BX54" s="4" t="n">
        <v>60</v>
      </c>
      <c r="BY54" s="4" t="s">
        <v>332</v>
      </c>
      <c r="BZ54" s="4" t="s">
        <v>332</v>
      </c>
      <c r="CA54" s="4" t="s">
        <v>332</v>
      </c>
      <c r="CB54" s="4" t="s">
        <v>333</v>
      </c>
      <c r="CC54" s="4" t="s">
        <v>332</v>
      </c>
      <c r="CD54" s="4" t="s">
        <v>332</v>
      </c>
      <c r="CE54" s="4" t="s">
        <v>332</v>
      </c>
      <c r="CF54" s="4" t="s">
        <v>333</v>
      </c>
      <c r="CK54" s="169" t="n">
        <v>45069.6497685185</v>
      </c>
      <c r="CL54" s="169" t="n">
        <v>45069.5340856482</v>
      </c>
      <c r="CQ54" s="4" t="n">
        <v>1417</v>
      </c>
      <c r="CR54" s="4" t="n">
        <v>1.3</v>
      </c>
      <c r="CS54" s="21" t="n">
        <v>6.9E-006</v>
      </c>
      <c r="CT54" s="4" t="n">
        <v>0.837</v>
      </c>
      <c r="CU54" s="4" t="s">
        <v>334</v>
      </c>
      <c r="CV54" s="169" t="n">
        <v>45067</v>
      </c>
      <c r="CW54" s="4" t="s">
        <v>328</v>
      </c>
      <c r="CX54" s="4" t="s">
        <v>350</v>
      </c>
      <c r="CY54" s="4" t="n">
        <v>81</v>
      </c>
      <c r="CZ54" s="4" t="n">
        <v>99.9999999999999</v>
      </c>
      <c r="DB54" s="4" t="s">
        <v>386</v>
      </c>
      <c r="DC54" s="4" t="s">
        <v>440</v>
      </c>
      <c r="DD54" s="4" t="s">
        <v>355</v>
      </c>
      <c r="DF54" s="4" t="n">
        <v>0.35</v>
      </c>
      <c r="DG54" s="4" t="n">
        <v>1.262</v>
      </c>
      <c r="DH54" s="4" t="n">
        <v>69.271</v>
      </c>
      <c r="DI54" s="4" t="n">
        <v>13.537</v>
      </c>
      <c r="DJ54" s="4" t="n">
        <v>8.904</v>
      </c>
      <c r="DK54" s="4" t="n">
        <v>0.965</v>
      </c>
      <c r="DL54" s="4" t="n">
        <v>3.087</v>
      </c>
      <c r="DM54" s="4" t="n">
        <v>0.627</v>
      </c>
      <c r="DN54" s="4" t="n">
        <v>0.732</v>
      </c>
      <c r="DO54" s="4" t="n">
        <v>1.265</v>
      </c>
      <c r="EQ54" s="4" t="s">
        <v>335</v>
      </c>
      <c r="FR54" s="4" t="s">
        <v>441</v>
      </c>
    </row>
    <row r="55" customFormat="false" ht="15.75" hidden="false" customHeight="true" outlineLevel="0" collapsed="false">
      <c r="A55" s="169" t="n">
        <v>45047.375</v>
      </c>
      <c r="B55" s="169" t="n">
        <v>45078.375</v>
      </c>
      <c r="C55" s="4" t="s">
        <v>15</v>
      </c>
      <c r="D55" s="4" t="s">
        <v>442</v>
      </c>
      <c r="E55" s="4" t="n">
        <v>23172.18</v>
      </c>
      <c r="F55" s="4" t="n">
        <v>35036.33</v>
      </c>
      <c r="G55" s="4" t="n">
        <v>76.3310946318229</v>
      </c>
      <c r="I55" s="4" t="n">
        <v>63.8645241642939</v>
      </c>
      <c r="J55" s="4" t="n">
        <v>90.353664943909</v>
      </c>
      <c r="K55" s="4" t="n">
        <v>44589.9166666667</v>
      </c>
      <c r="L55" s="4" t="n">
        <v>2.89412155237551</v>
      </c>
      <c r="N55" s="4" t="n">
        <v>1.00751389482421</v>
      </c>
      <c r="P55" s="4" t="s">
        <v>324</v>
      </c>
      <c r="Q55" s="4" t="s">
        <v>325</v>
      </c>
      <c r="T55" s="4" t="s">
        <v>326</v>
      </c>
      <c r="U55" s="4" t="s">
        <v>15</v>
      </c>
      <c r="V55" s="170" t="n">
        <v>44543</v>
      </c>
      <c r="W55" s="4" t="n">
        <v>1</v>
      </c>
      <c r="X55" s="4" t="n">
        <v>9</v>
      </c>
      <c r="AA55" s="4" t="n">
        <v>1.5</v>
      </c>
      <c r="AB55" s="4" t="n">
        <v>68</v>
      </c>
      <c r="AC55" s="4" t="s">
        <v>327</v>
      </c>
      <c r="AD55" s="4" t="n">
        <v>6.06500005722046</v>
      </c>
      <c r="AE55" s="4" t="n">
        <v>68</v>
      </c>
      <c r="AF55" s="4" t="s">
        <v>328</v>
      </c>
      <c r="AG55" s="4" t="s">
        <v>329</v>
      </c>
      <c r="AH55" s="4" t="s">
        <v>330</v>
      </c>
      <c r="AI55" s="4" t="s">
        <v>331</v>
      </c>
      <c r="AR55" s="4" t="s">
        <v>332</v>
      </c>
      <c r="AS55" s="4" t="s">
        <v>332</v>
      </c>
      <c r="AT55" s="4" t="s">
        <v>332</v>
      </c>
      <c r="AU55" s="4" t="s">
        <v>333</v>
      </c>
      <c r="AV55" s="4" t="n">
        <v>2047</v>
      </c>
      <c r="AW55" s="4" t="n">
        <v>0</v>
      </c>
      <c r="AX55" s="4" t="n">
        <v>400</v>
      </c>
      <c r="AY55" s="4" t="n">
        <v>0</v>
      </c>
      <c r="BB55" s="4" t="n">
        <v>2047</v>
      </c>
      <c r="BC55" s="4" t="n">
        <v>0</v>
      </c>
      <c r="BD55" s="4" t="n">
        <v>1513.19995117187</v>
      </c>
      <c r="BE55" s="4" t="n">
        <v>13.1999998092651</v>
      </c>
      <c r="BH55" s="4" t="n">
        <v>420</v>
      </c>
      <c r="BI55" s="4" t="n">
        <v>0</v>
      </c>
      <c r="BN55" s="4" t="n">
        <v>0.5</v>
      </c>
      <c r="BO55" s="4" t="n">
        <v>-3</v>
      </c>
      <c r="BP55" s="4" t="n">
        <v>14.6499996185303</v>
      </c>
      <c r="BQ55" s="4" t="n">
        <v>60</v>
      </c>
      <c r="BR55" s="4" t="n">
        <v>13.1999998092651</v>
      </c>
      <c r="BV55" s="4" t="n">
        <v>1</v>
      </c>
      <c r="BW55" s="4" t="s">
        <v>334</v>
      </c>
      <c r="BX55" s="4" t="n">
        <v>60</v>
      </c>
      <c r="BY55" s="4" t="s">
        <v>332</v>
      </c>
      <c r="BZ55" s="4" t="s">
        <v>332</v>
      </c>
      <c r="CA55" s="4" t="s">
        <v>332</v>
      </c>
      <c r="CB55" s="4" t="s">
        <v>333</v>
      </c>
      <c r="CC55" s="4" t="s">
        <v>332</v>
      </c>
      <c r="CD55" s="4" t="s">
        <v>332</v>
      </c>
      <c r="CE55" s="4" t="s">
        <v>332</v>
      </c>
      <c r="CF55" s="4" t="s">
        <v>333</v>
      </c>
      <c r="CK55" s="169" t="n">
        <v>43531.5672222222</v>
      </c>
      <c r="CQ55" s="4" t="n">
        <v>1512</v>
      </c>
      <c r="CR55" s="4" t="n">
        <v>1.3</v>
      </c>
      <c r="CS55" s="21" t="n">
        <v>6.9E-006</v>
      </c>
      <c r="CT55" s="4" t="n">
        <v>0.8986</v>
      </c>
      <c r="CU55" s="4" t="s">
        <v>334</v>
      </c>
      <c r="CV55" s="169" t="n">
        <v>45066</v>
      </c>
      <c r="CW55" s="4" t="s">
        <v>328</v>
      </c>
      <c r="CX55" s="4" t="s">
        <v>340</v>
      </c>
      <c r="CY55" s="4" t="n">
        <v>66</v>
      </c>
      <c r="CZ55" s="4" t="n">
        <v>50</v>
      </c>
      <c r="DB55" s="4" t="s">
        <v>386</v>
      </c>
      <c r="DC55" s="4" t="s">
        <v>443</v>
      </c>
      <c r="DD55" s="4" t="s">
        <v>355</v>
      </c>
      <c r="DF55" s="4" t="n">
        <v>0.386</v>
      </c>
      <c r="DG55" s="4" t="n">
        <v>1.243</v>
      </c>
      <c r="DH55" s="4" t="n">
        <v>66.996</v>
      </c>
      <c r="DI55" s="4" t="n">
        <v>12.796</v>
      </c>
      <c r="DJ55" s="4" t="n">
        <v>9.021</v>
      </c>
      <c r="DK55" s="4" t="n">
        <v>1.124</v>
      </c>
      <c r="DL55" s="4" t="n">
        <v>3.668</v>
      </c>
      <c r="DM55" s="4" t="n">
        <v>0.902</v>
      </c>
      <c r="DN55" s="4" t="n">
        <v>1.16</v>
      </c>
      <c r="DO55" s="4" t="n">
        <v>2.704</v>
      </c>
      <c r="EQ55" s="4" t="s">
        <v>335</v>
      </c>
      <c r="FR55" s="4" t="s">
        <v>417</v>
      </c>
    </row>
    <row r="56" customFormat="false" ht="15.75" hidden="false" customHeight="true" outlineLevel="0" collapsed="false">
      <c r="A56" s="169" t="n">
        <v>45047.375</v>
      </c>
      <c r="B56" s="169" t="n">
        <v>45078.375</v>
      </c>
      <c r="C56" s="4" t="s">
        <v>82</v>
      </c>
      <c r="D56" s="4" t="s">
        <v>444</v>
      </c>
      <c r="E56" s="4" t="n">
        <v>164470.78</v>
      </c>
      <c r="F56" s="4" t="n">
        <v>231081.44</v>
      </c>
      <c r="G56" s="4" t="n">
        <v>71.1459404368385</v>
      </c>
      <c r="I56" s="4" t="n">
        <v>65.9651908970752</v>
      </c>
      <c r="J56" s="4" t="n">
        <v>102.01060011026</v>
      </c>
      <c r="K56" s="4" t="n">
        <v>44437.65</v>
      </c>
      <c r="L56" s="4" t="n">
        <v>2.87401233665758</v>
      </c>
      <c r="N56" s="4" t="n">
        <v>1.00597583179928</v>
      </c>
      <c r="P56" s="4" t="s">
        <v>324</v>
      </c>
      <c r="Q56" s="4" t="s">
        <v>325</v>
      </c>
      <c r="T56" s="4" t="s">
        <v>326</v>
      </c>
      <c r="U56" s="4" t="s">
        <v>82</v>
      </c>
      <c r="V56" s="170" t="n">
        <v>44543</v>
      </c>
      <c r="W56" s="4" t="n">
        <v>1</v>
      </c>
      <c r="X56" s="4" t="n">
        <v>9</v>
      </c>
      <c r="AA56" s="4" t="n">
        <v>3.75</v>
      </c>
      <c r="AB56" s="4" t="n">
        <v>68</v>
      </c>
      <c r="AC56" s="4" t="s">
        <v>327</v>
      </c>
      <c r="AD56" s="4" t="n">
        <v>6.06500005722046</v>
      </c>
      <c r="AE56" s="4" t="n">
        <v>68</v>
      </c>
      <c r="AF56" s="4" t="s">
        <v>328</v>
      </c>
      <c r="AG56" s="4" t="s">
        <v>329</v>
      </c>
      <c r="AH56" s="4" t="s">
        <v>330</v>
      </c>
      <c r="AI56" s="4" t="s">
        <v>331</v>
      </c>
      <c r="AR56" s="4" t="s">
        <v>332</v>
      </c>
      <c r="AS56" s="4" t="s">
        <v>332</v>
      </c>
      <c r="AT56" s="4" t="s">
        <v>332</v>
      </c>
      <c r="AU56" s="4" t="s">
        <v>333</v>
      </c>
      <c r="AV56" s="4" t="n">
        <v>2047</v>
      </c>
      <c r="AW56" s="4" t="n">
        <v>0</v>
      </c>
      <c r="AX56" s="4" t="n">
        <v>400</v>
      </c>
      <c r="AY56" s="4" t="n">
        <v>0</v>
      </c>
      <c r="BB56" s="4" t="n">
        <v>2047</v>
      </c>
      <c r="BC56" s="4" t="n">
        <v>0</v>
      </c>
      <c r="BD56" s="4" t="n">
        <v>263.200012207031</v>
      </c>
      <c r="BE56" s="4" t="n">
        <v>13.1999998092651</v>
      </c>
      <c r="BH56" s="4" t="n">
        <v>420</v>
      </c>
      <c r="BI56" s="4" t="n">
        <v>0</v>
      </c>
      <c r="BN56" s="4" t="n">
        <v>0.5</v>
      </c>
      <c r="BO56" s="4" t="n">
        <v>-3</v>
      </c>
      <c r="BP56" s="4" t="n">
        <v>14.6499996185303</v>
      </c>
      <c r="BQ56" s="4" t="n">
        <v>60</v>
      </c>
      <c r="BR56" s="4" t="n">
        <v>13.1999998092651</v>
      </c>
      <c r="BV56" s="4" t="n">
        <v>1</v>
      </c>
      <c r="BW56" s="4" t="s">
        <v>334</v>
      </c>
      <c r="BX56" s="4" t="n">
        <v>60</v>
      </c>
      <c r="BY56" s="4" t="s">
        <v>332</v>
      </c>
      <c r="BZ56" s="4" t="s">
        <v>332</v>
      </c>
      <c r="CA56" s="4" t="s">
        <v>332</v>
      </c>
      <c r="CB56" s="4" t="s">
        <v>333</v>
      </c>
      <c r="CC56" s="4" t="s">
        <v>332</v>
      </c>
      <c r="CD56" s="4" t="s">
        <v>332</v>
      </c>
      <c r="CE56" s="4" t="s">
        <v>332</v>
      </c>
      <c r="CF56" s="4" t="s">
        <v>333</v>
      </c>
      <c r="CK56" s="169" t="n">
        <v>44748.4291782407</v>
      </c>
      <c r="CL56" s="169" t="n">
        <v>44748.4291782407</v>
      </c>
      <c r="CQ56" s="4" t="n">
        <v>1405</v>
      </c>
      <c r="CR56" s="4" t="n">
        <v>1.3</v>
      </c>
      <c r="CS56" s="21" t="n">
        <v>6.9E-006</v>
      </c>
      <c r="CT56" s="4" t="n">
        <v>0.834</v>
      </c>
      <c r="CU56" s="4" t="s">
        <v>334</v>
      </c>
      <c r="CV56" s="169" t="n">
        <v>45067</v>
      </c>
      <c r="CW56" s="4" t="s">
        <v>328</v>
      </c>
      <c r="CX56" s="4" t="s">
        <v>340</v>
      </c>
      <c r="CY56" s="4" t="n">
        <v>79</v>
      </c>
      <c r="CZ56" s="4" t="n">
        <v>150</v>
      </c>
      <c r="DB56" s="4" t="s">
        <v>386</v>
      </c>
      <c r="DC56" s="4" t="s">
        <v>445</v>
      </c>
      <c r="DD56" s="4" t="s">
        <v>355</v>
      </c>
      <c r="DF56" s="4" t="n">
        <v>0.452</v>
      </c>
      <c r="DG56" s="4" t="n">
        <v>1.557</v>
      </c>
      <c r="DH56" s="4" t="n">
        <v>68.605</v>
      </c>
      <c r="DI56" s="4" t="n">
        <v>13.605</v>
      </c>
      <c r="DJ56" s="4" t="n">
        <v>9.30300000000001</v>
      </c>
      <c r="DK56" s="4" t="n">
        <v>1.09</v>
      </c>
      <c r="DL56" s="4" t="n">
        <v>3.269</v>
      </c>
      <c r="DM56" s="4" t="n">
        <v>0.677</v>
      </c>
      <c r="DN56" s="4" t="n">
        <v>0.726</v>
      </c>
      <c r="DO56" s="4" t="n">
        <v>0.716</v>
      </c>
      <c r="EQ56" s="4" t="s">
        <v>335</v>
      </c>
      <c r="FR56" s="4" t="s">
        <v>417</v>
      </c>
    </row>
    <row r="57" customFormat="false" ht="15.75" hidden="false" customHeight="true" outlineLevel="0" collapsed="false">
      <c r="A57" s="169" t="n">
        <v>45047.375</v>
      </c>
      <c r="B57" s="169" t="n">
        <v>45078.375</v>
      </c>
      <c r="C57" s="4" t="s">
        <v>83</v>
      </c>
      <c r="D57" s="4" t="s">
        <v>446</v>
      </c>
      <c r="E57" s="4" t="n">
        <v>17299.87</v>
      </c>
      <c r="F57" s="4" t="n">
        <v>23960.32</v>
      </c>
      <c r="G57" s="4" t="n">
        <v>170.852615105268</v>
      </c>
      <c r="I57" s="4" t="n">
        <v>66.6407443036375</v>
      </c>
      <c r="J57" s="4" t="n">
        <v>80.2689928116755</v>
      </c>
      <c r="K57" s="4" t="n">
        <v>35781.0166666667</v>
      </c>
      <c r="L57" s="4" t="n">
        <v>3.69249545610991</v>
      </c>
      <c r="N57" s="4" t="n">
        <v>1.00706364184186</v>
      </c>
      <c r="P57" s="4" t="s">
        <v>324</v>
      </c>
      <c r="Q57" s="4" t="s">
        <v>325</v>
      </c>
      <c r="T57" s="4" t="s">
        <v>326</v>
      </c>
      <c r="U57" s="4" t="s">
        <v>83</v>
      </c>
      <c r="V57" s="170" t="n">
        <v>44634</v>
      </c>
      <c r="W57" s="4" t="n">
        <v>1</v>
      </c>
      <c r="X57" s="4" t="n">
        <v>9</v>
      </c>
      <c r="AA57" s="4" t="n">
        <v>1.25</v>
      </c>
      <c r="AB57" s="4" t="n">
        <v>68</v>
      </c>
      <c r="AC57" s="4" t="s">
        <v>327</v>
      </c>
      <c r="AD57" s="4" t="n">
        <v>4.02600002288818</v>
      </c>
      <c r="AE57" s="4" t="n">
        <v>68</v>
      </c>
      <c r="AF57" s="4" t="s">
        <v>328</v>
      </c>
      <c r="AG57" s="4" t="s">
        <v>329</v>
      </c>
      <c r="AH57" s="4" t="s">
        <v>330</v>
      </c>
      <c r="AI57" s="4" t="s">
        <v>331</v>
      </c>
      <c r="AR57" s="4" t="s">
        <v>332</v>
      </c>
      <c r="AS57" s="4" t="s">
        <v>332</v>
      </c>
      <c r="AT57" s="4" t="s">
        <v>332</v>
      </c>
      <c r="AU57" s="4" t="s">
        <v>333</v>
      </c>
      <c r="AV57" s="4" t="n">
        <v>2047</v>
      </c>
      <c r="AW57" s="4" t="n">
        <v>0</v>
      </c>
      <c r="AX57" s="4" t="n">
        <v>400</v>
      </c>
      <c r="AY57" s="4" t="n">
        <v>0</v>
      </c>
      <c r="BB57" s="4" t="n">
        <v>2047</v>
      </c>
      <c r="BC57" s="4" t="n">
        <v>0</v>
      </c>
      <c r="BD57" s="4" t="n">
        <v>263.200012207031</v>
      </c>
      <c r="BE57" s="4" t="n">
        <v>13.1999998092651</v>
      </c>
      <c r="BH57" s="4" t="n">
        <v>420</v>
      </c>
      <c r="BI57" s="4" t="n">
        <v>0</v>
      </c>
      <c r="BN57" s="4" t="n">
        <v>0.5</v>
      </c>
      <c r="BO57" s="4" t="n">
        <v>-3</v>
      </c>
      <c r="BP57" s="4" t="n">
        <v>14.6499996185303</v>
      </c>
      <c r="BQ57" s="4" t="n">
        <v>60</v>
      </c>
      <c r="BR57" s="4" t="n">
        <v>13.1999998092651</v>
      </c>
      <c r="BV57" s="4" t="n">
        <v>1</v>
      </c>
      <c r="BW57" s="4" t="s">
        <v>334</v>
      </c>
      <c r="BX57" s="4" t="n">
        <v>60</v>
      </c>
      <c r="BY57" s="4" t="s">
        <v>332</v>
      </c>
      <c r="BZ57" s="4" t="s">
        <v>332</v>
      </c>
      <c r="CA57" s="4" t="s">
        <v>332</v>
      </c>
      <c r="CB57" s="4" t="s">
        <v>333</v>
      </c>
      <c r="CC57" s="4" t="s">
        <v>332</v>
      </c>
      <c r="CD57" s="4" t="s">
        <v>332</v>
      </c>
      <c r="CE57" s="4" t="s">
        <v>332</v>
      </c>
      <c r="CF57" s="4" t="s">
        <v>333</v>
      </c>
      <c r="CK57" s="169" t="n">
        <v>44922.6027314815</v>
      </c>
      <c r="CL57" s="169" t="n">
        <v>44922.6027314815</v>
      </c>
      <c r="CQ57" s="4" t="n">
        <v>1385</v>
      </c>
      <c r="CR57" s="4" t="n">
        <v>1.3</v>
      </c>
      <c r="CS57" s="21" t="n">
        <v>6.9E-006</v>
      </c>
      <c r="CT57" s="4" t="n">
        <v>0.8208</v>
      </c>
      <c r="CU57" s="4" t="s">
        <v>334</v>
      </c>
      <c r="CV57" s="169" t="n">
        <v>45066</v>
      </c>
      <c r="CW57" s="4" t="s">
        <v>328</v>
      </c>
      <c r="CX57" s="4" t="s">
        <v>350</v>
      </c>
      <c r="CY57" s="4" t="n">
        <v>66</v>
      </c>
      <c r="CZ57" s="4" t="n">
        <v>50</v>
      </c>
      <c r="DB57" s="4" t="s">
        <v>386</v>
      </c>
      <c r="DC57" s="4" t="s">
        <v>447</v>
      </c>
      <c r="DD57" s="4" t="s">
        <v>355</v>
      </c>
      <c r="DF57" s="4" t="n">
        <v>0.67</v>
      </c>
      <c r="DG57" s="4" t="n">
        <v>1.207</v>
      </c>
      <c r="DH57" s="4" t="n">
        <v>69.703</v>
      </c>
      <c r="DI57" s="4" t="n">
        <v>13.688</v>
      </c>
      <c r="DJ57" s="4" t="n">
        <v>8.957</v>
      </c>
      <c r="DK57" s="4" t="n">
        <v>0.956</v>
      </c>
      <c r="DL57" s="4" t="n">
        <v>2.885</v>
      </c>
      <c r="DM57" s="4" t="n">
        <v>0.548</v>
      </c>
      <c r="DN57" s="4" t="n">
        <v>0.611</v>
      </c>
      <c r="DO57" s="4" t="n">
        <v>0.775</v>
      </c>
      <c r="EQ57" s="4" t="s">
        <v>335</v>
      </c>
      <c r="FR57" s="4" t="s">
        <v>417</v>
      </c>
    </row>
    <row r="58" customFormat="false" ht="15.75" hidden="false" customHeight="true" outlineLevel="0" collapsed="false">
      <c r="A58" s="169" t="n">
        <v>45047.375</v>
      </c>
      <c r="B58" s="169" t="n">
        <v>45078.375</v>
      </c>
      <c r="C58" s="4" t="s">
        <v>84</v>
      </c>
      <c r="D58" s="4" t="s">
        <v>448</v>
      </c>
      <c r="E58" s="4" t="n">
        <v>93835.16</v>
      </c>
      <c r="F58" s="4" t="n">
        <v>137843.85</v>
      </c>
      <c r="G58" s="4" t="n">
        <v>22.9380120023025</v>
      </c>
      <c r="I58" s="4" t="n">
        <v>62.1874120252386</v>
      </c>
      <c r="J58" s="4" t="n">
        <v>86.1468728699175</v>
      </c>
      <c r="K58" s="4" t="n">
        <v>42939.9166666667</v>
      </c>
      <c r="L58" s="4" t="n">
        <v>1.58968099957086</v>
      </c>
      <c r="N58" s="4" t="n">
        <v>1.00705353716651</v>
      </c>
      <c r="P58" s="4" t="s">
        <v>324</v>
      </c>
      <c r="Q58" s="4" t="s">
        <v>325</v>
      </c>
      <c r="T58" s="4" t="s">
        <v>326</v>
      </c>
      <c r="U58" s="4" t="s">
        <v>84</v>
      </c>
      <c r="V58" s="170" t="n">
        <v>44790</v>
      </c>
      <c r="W58" s="4" t="n">
        <v>1</v>
      </c>
      <c r="X58" s="4" t="n">
        <v>9</v>
      </c>
      <c r="AA58" s="4" t="n">
        <v>4</v>
      </c>
      <c r="AB58" s="4" t="n">
        <v>68</v>
      </c>
      <c r="AC58" s="4" t="s">
        <v>327</v>
      </c>
      <c r="AD58" s="4" t="n">
        <v>7.625</v>
      </c>
      <c r="AE58" s="4" t="n">
        <v>68</v>
      </c>
      <c r="AF58" s="4" t="s">
        <v>328</v>
      </c>
      <c r="AG58" s="4" t="s">
        <v>329</v>
      </c>
      <c r="AH58" s="4" t="s">
        <v>330</v>
      </c>
      <c r="AI58" s="4" t="s">
        <v>331</v>
      </c>
      <c r="AR58" s="4" t="s">
        <v>332</v>
      </c>
      <c r="AS58" s="4" t="s">
        <v>332</v>
      </c>
      <c r="AT58" s="4" t="s">
        <v>332</v>
      </c>
      <c r="AU58" s="4" t="s">
        <v>333</v>
      </c>
      <c r="AV58" s="4" t="n">
        <v>2047</v>
      </c>
      <c r="AW58" s="4" t="n">
        <v>0</v>
      </c>
      <c r="AX58" s="4" t="n">
        <v>400</v>
      </c>
      <c r="AY58" s="4" t="n">
        <v>0</v>
      </c>
      <c r="BB58" s="4" t="n">
        <v>2047</v>
      </c>
      <c r="BC58" s="4" t="n">
        <v>0</v>
      </c>
      <c r="BD58" s="4" t="n">
        <v>100</v>
      </c>
      <c r="BE58" s="4" t="n">
        <v>0</v>
      </c>
      <c r="BH58" s="4" t="n">
        <v>420</v>
      </c>
      <c r="BI58" s="4" t="n">
        <v>0</v>
      </c>
      <c r="BN58" s="4" t="n">
        <v>0.5</v>
      </c>
      <c r="BO58" s="4" t="n">
        <v>-3</v>
      </c>
      <c r="BP58" s="4" t="n">
        <v>14.6499996185303</v>
      </c>
      <c r="BQ58" s="4" t="n">
        <v>60</v>
      </c>
      <c r="BR58" s="4" t="n">
        <v>13.1999998092651</v>
      </c>
      <c r="BV58" s="4" t="n">
        <v>1</v>
      </c>
      <c r="BW58" s="4" t="s">
        <v>334</v>
      </c>
      <c r="BX58" s="4" t="n">
        <v>60</v>
      </c>
      <c r="BY58" s="4" t="s">
        <v>332</v>
      </c>
      <c r="BZ58" s="4" t="s">
        <v>332</v>
      </c>
      <c r="CA58" s="4" t="s">
        <v>332</v>
      </c>
      <c r="CB58" s="4" t="s">
        <v>333</v>
      </c>
      <c r="CC58" s="4" t="s">
        <v>332</v>
      </c>
      <c r="CD58" s="4" t="s">
        <v>332</v>
      </c>
      <c r="CE58" s="4" t="s">
        <v>332</v>
      </c>
      <c r="CF58" s="4" t="s">
        <v>333</v>
      </c>
      <c r="CK58" s="169" t="n">
        <v>44869.7614814815</v>
      </c>
      <c r="CL58" s="169" t="n">
        <v>44852.5323032407</v>
      </c>
      <c r="CQ58" s="4" t="n">
        <v>1469</v>
      </c>
      <c r="CR58" s="4" t="n">
        <v>1.3</v>
      </c>
      <c r="CS58" s="21" t="n">
        <v>6.9E-006</v>
      </c>
      <c r="CT58" s="4" t="n">
        <v>0.8768</v>
      </c>
      <c r="CU58" s="4" t="s">
        <v>334</v>
      </c>
      <c r="CV58" s="169" t="n">
        <v>45066</v>
      </c>
      <c r="CW58" s="4" t="s">
        <v>328</v>
      </c>
      <c r="CX58" s="4" t="s">
        <v>350</v>
      </c>
      <c r="CY58" s="4" t="n">
        <v>63</v>
      </c>
      <c r="CZ58" s="4" t="n">
        <v>50</v>
      </c>
      <c r="DB58" s="4" t="s">
        <v>386</v>
      </c>
      <c r="DC58" s="4" t="s">
        <v>449</v>
      </c>
      <c r="DD58" s="4" t="s">
        <v>355</v>
      </c>
      <c r="DF58" s="4" t="n">
        <v>0.674</v>
      </c>
      <c r="DG58" s="4" t="n">
        <v>1.324</v>
      </c>
      <c r="DH58" s="4" t="n">
        <v>67.68</v>
      </c>
      <c r="DI58" s="4" t="n">
        <v>13.238</v>
      </c>
      <c r="DJ58" s="4" t="n">
        <v>8.748</v>
      </c>
      <c r="DK58" s="4" t="n">
        <v>1.033</v>
      </c>
      <c r="DL58" s="4" t="n">
        <v>3.276</v>
      </c>
      <c r="DM58" s="4" t="n">
        <v>0.778</v>
      </c>
      <c r="DN58" s="4" t="n">
        <v>0.912</v>
      </c>
      <c r="DO58" s="4" t="n">
        <v>2.337</v>
      </c>
      <c r="EJ58" s="4" t="s">
        <v>448</v>
      </c>
      <c r="EQ58" s="4" t="s">
        <v>335</v>
      </c>
      <c r="FR58" s="4" t="s">
        <v>400</v>
      </c>
    </row>
    <row r="59" customFormat="false" ht="15.75" hidden="false" customHeight="true" outlineLevel="0" collapsed="false">
      <c r="A59" s="169" t="n">
        <v>45047.375</v>
      </c>
      <c r="B59" s="169" t="n">
        <v>45078.375</v>
      </c>
      <c r="C59" s="4" t="s">
        <v>85</v>
      </c>
      <c r="D59" s="4" t="s">
        <v>450</v>
      </c>
      <c r="E59" s="4" t="n">
        <v>135025.2</v>
      </c>
      <c r="F59" s="4" t="n">
        <v>181203.81</v>
      </c>
      <c r="G59" s="4" t="n">
        <v>48.0175008350102</v>
      </c>
      <c r="I59" s="4" t="n">
        <v>64.1920752716389</v>
      </c>
      <c r="J59" s="4" t="n">
        <v>99.6528658427098</v>
      </c>
      <c r="K59" s="4" t="n">
        <v>43842.8</v>
      </c>
      <c r="L59" s="4" t="n">
        <v>2.28272413204695</v>
      </c>
      <c r="N59" s="4" t="n">
        <v>1.00510611737094</v>
      </c>
      <c r="P59" s="4" t="s">
        <v>324</v>
      </c>
      <c r="Q59" s="4" t="s">
        <v>325</v>
      </c>
      <c r="T59" s="4" t="s">
        <v>326</v>
      </c>
      <c r="U59" s="4" t="s">
        <v>85</v>
      </c>
      <c r="V59" s="170" t="n">
        <v>44873</v>
      </c>
      <c r="W59" s="4" t="n">
        <v>1</v>
      </c>
      <c r="X59" s="4" t="n">
        <v>9</v>
      </c>
      <c r="AA59" s="4" t="n">
        <v>4</v>
      </c>
      <c r="AB59" s="4" t="n">
        <v>68</v>
      </c>
      <c r="AC59" s="4" t="s">
        <v>327</v>
      </c>
      <c r="AD59" s="4" t="n">
        <v>7.625</v>
      </c>
      <c r="AE59" s="4" t="n">
        <v>68</v>
      </c>
      <c r="AF59" s="4" t="s">
        <v>328</v>
      </c>
      <c r="AG59" s="4" t="s">
        <v>329</v>
      </c>
      <c r="AH59" s="4" t="s">
        <v>330</v>
      </c>
      <c r="AI59" s="4" t="s">
        <v>331</v>
      </c>
      <c r="AR59" s="4" t="s">
        <v>332</v>
      </c>
      <c r="AS59" s="4" t="s">
        <v>332</v>
      </c>
      <c r="AT59" s="4" t="s">
        <v>332</v>
      </c>
      <c r="AU59" s="4" t="s">
        <v>333</v>
      </c>
      <c r="AV59" s="4" t="n">
        <v>2047</v>
      </c>
      <c r="AW59" s="4" t="n">
        <v>0</v>
      </c>
      <c r="AX59" s="4" t="n">
        <v>250</v>
      </c>
      <c r="AY59" s="4" t="n">
        <v>0</v>
      </c>
      <c r="BB59" s="4" t="n">
        <v>2047</v>
      </c>
      <c r="BC59" s="4" t="n">
        <v>0</v>
      </c>
      <c r="BD59" s="4" t="n">
        <v>100</v>
      </c>
      <c r="BE59" s="4" t="n">
        <v>0</v>
      </c>
      <c r="BH59" s="4" t="n">
        <v>420</v>
      </c>
      <c r="BI59" s="4" t="n">
        <v>0</v>
      </c>
      <c r="BN59" s="4" t="n">
        <v>0.5</v>
      </c>
      <c r="BO59" s="4" t="n">
        <v>-3</v>
      </c>
      <c r="BP59" s="4" t="n">
        <v>14.6499996185303</v>
      </c>
      <c r="BQ59" s="4" t="n">
        <v>60</v>
      </c>
      <c r="BR59" s="4" t="n">
        <v>13.1999998092651</v>
      </c>
      <c r="BV59" s="4" t="n">
        <v>1</v>
      </c>
      <c r="BW59" s="4" t="s">
        <v>334</v>
      </c>
      <c r="BX59" s="4" t="n">
        <v>60</v>
      </c>
      <c r="BY59" s="4" t="s">
        <v>332</v>
      </c>
      <c r="BZ59" s="4" t="s">
        <v>332</v>
      </c>
      <c r="CA59" s="4" t="s">
        <v>332</v>
      </c>
      <c r="CB59" s="4" t="s">
        <v>333</v>
      </c>
      <c r="CC59" s="4" t="s">
        <v>332</v>
      </c>
      <c r="CD59" s="4" t="s">
        <v>332</v>
      </c>
      <c r="CE59" s="4" t="s">
        <v>332</v>
      </c>
      <c r="CF59" s="4" t="s">
        <v>333</v>
      </c>
      <c r="CK59" s="169" t="n">
        <v>44939.4989236111</v>
      </c>
      <c r="CL59" s="169" t="n">
        <v>44939.4989236111</v>
      </c>
      <c r="CQ59" s="4" t="n">
        <v>1342</v>
      </c>
      <c r="CR59" s="4" t="n">
        <v>1.3</v>
      </c>
      <c r="CS59" s="21" t="n">
        <v>6.9E-006</v>
      </c>
      <c r="CT59" s="4" t="n">
        <v>0.7831</v>
      </c>
      <c r="CU59" s="4" t="s">
        <v>334</v>
      </c>
      <c r="CV59" s="169" t="n">
        <v>45064</v>
      </c>
      <c r="CW59" s="4" t="s">
        <v>328</v>
      </c>
      <c r="CX59" s="4" t="s">
        <v>350</v>
      </c>
      <c r="CY59" s="4" t="n">
        <v>106</v>
      </c>
      <c r="CZ59" s="4" t="n">
        <v>30</v>
      </c>
      <c r="DB59" s="4" t="s">
        <v>363</v>
      </c>
      <c r="DC59" s="4" t="s">
        <v>451</v>
      </c>
      <c r="DD59" s="4" t="s">
        <v>360</v>
      </c>
      <c r="DF59" s="4" t="n">
        <v>0.231</v>
      </c>
      <c r="DG59" s="4" t="n">
        <v>0.898</v>
      </c>
      <c r="DH59" s="4" t="n">
        <v>77.321</v>
      </c>
      <c r="DI59" s="4" t="n">
        <v>9.42</v>
      </c>
      <c r="DJ59" s="4" t="n">
        <v>6.01</v>
      </c>
      <c r="DK59" s="4" t="n">
        <v>0.761</v>
      </c>
      <c r="DL59" s="4" t="n">
        <v>2.32</v>
      </c>
      <c r="DM59" s="4" t="n">
        <v>0.588</v>
      </c>
      <c r="DN59" s="4" t="n">
        <v>0.705</v>
      </c>
      <c r="DO59" s="4" t="n">
        <v>1.746</v>
      </c>
      <c r="EQ59" s="4" t="s">
        <v>335</v>
      </c>
      <c r="FR59" s="4" t="s">
        <v>400</v>
      </c>
    </row>
    <row r="60" customFormat="false" ht="15.75" hidden="false" customHeight="true" outlineLevel="0" collapsed="false">
      <c r="A60" s="169" t="n">
        <v>45047.375</v>
      </c>
      <c r="B60" s="169" t="n">
        <v>45078.375</v>
      </c>
      <c r="C60" s="4" t="s">
        <v>87</v>
      </c>
      <c r="D60" s="4" t="s">
        <v>452</v>
      </c>
      <c r="E60" s="4" t="n">
        <v>62525.86</v>
      </c>
      <c r="F60" s="4" t="n">
        <v>81971.41</v>
      </c>
      <c r="G60" s="4" t="n">
        <v>23.6147381365528</v>
      </c>
      <c r="I60" s="4" t="n">
        <v>70.555804925251</v>
      </c>
      <c r="J60" s="4" t="n">
        <v>84.839565504966</v>
      </c>
      <c r="K60" s="4" t="n">
        <v>44596.3166666667</v>
      </c>
      <c r="L60" s="4" t="n">
        <v>1.70973890512479</v>
      </c>
      <c r="N60" s="4" t="n">
        <v>1.00626209060258</v>
      </c>
      <c r="P60" s="4" t="s">
        <v>324</v>
      </c>
      <c r="Q60" s="4" t="s">
        <v>325</v>
      </c>
      <c r="T60" s="4" t="s">
        <v>326</v>
      </c>
      <c r="U60" s="4" t="s">
        <v>87</v>
      </c>
      <c r="V60" s="170" t="n">
        <v>44769</v>
      </c>
      <c r="W60" s="4" t="n">
        <v>1</v>
      </c>
      <c r="X60" s="4" t="n">
        <v>9</v>
      </c>
      <c r="AA60" s="4" t="n">
        <v>3</v>
      </c>
      <c r="AB60" s="4" t="n">
        <v>68</v>
      </c>
      <c r="AC60" s="4" t="s">
        <v>327</v>
      </c>
      <c r="AD60" s="4" t="n">
        <v>6.06500005722046</v>
      </c>
      <c r="AE60" s="4" t="n">
        <v>68</v>
      </c>
      <c r="AF60" s="4" t="s">
        <v>328</v>
      </c>
      <c r="AG60" s="4" t="s">
        <v>329</v>
      </c>
      <c r="AH60" s="4" t="s">
        <v>330</v>
      </c>
      <c r="AI60" s="4" t="s">
        <v>331</v>
      </c>
      <c r="AR60" s="4" t="s">
        <v>332</v>
      </c>
      <c r="AS60" s="4" t="s">
        <v>332</v>
      </c>
      <c r="AT60" s="4" t="s">
        <v>332</v>
      </c>
      <c r="AU60" s="4" t="s">
        <v>333</v>
      </c>
      <c r="AV60" s="4" t="n">
        <v>2047</v>
      </c>
      <c r="AW60" s="4" t="n">
        <v>0</v>
      </c>
      <c r="AX60" s="4" t="n">
        <v>100</v>
      </c>
      <c r="AY60" s="4" t="n">
        <v>0</v>
      </c>
      <c r="BB60" s="4" t="n">
        <v>2047</v>
      </c>
      <c r="BC60" s="4" t="n">
        <v>0</v>
      </c>
      <c r="BD60" s="4" t="n">
        <v>100</v>
      </c>
      <c r="BE60" s="4" t="n">
        <v>0</v>
      </c>
      <c r="BH60" s="4" t="n">
        <v>420</v>
      </c>
      <c r="BI60" s="4" t="n">
        <v>0</v>
      </c>
      <c r="BN60" s="4" t="n">
        <v>0.5</v>
      </c>
      <c r="BO60" s="4" t="n">
        <v>-3</v>
      </c>
      <c r="BP60" s="4" t="n">
        <v>14.6499996185303</v>
      </c>
      <c r="BQ60" s="4" t="n">
        <v>60</v>
      </c>
      <c r="BR60" s="4" t="n">
        <v>13.1999998092651</v>
      </c>
      <c r="BV60" s="4" t="n">
        <v>1</v>
      </c>
      <c r="BW60" s="4" t="s">
        <v>334</v>
      </c>
      <c r="BX60" s="4" t="n">
        <v>60</v>
      </c>
      <c r="BY60" s="4" t="s">
        <v>332</v>
      </c>
      <c r="BZ60" s="4" t="s">
        <v>332</v>
      </c>
      <c r="CA60" s="4" t="s">
        <v>332</v>
      </c>
      <c r="CB60" s="4" t="s">
        <v>333</v>
      </c>
      <c r="CC60" s="4" t="s">
        <v>332</v>
      </c>
      <c r="CD60" s="4" t="s">
        <v>332</v>
      </c>
      <c r="CE60" s="4" t="s">
        <v>332</v>
      </c>
      <c r="CF60" s="4" t="s">
        <v>333</v>
      </c>
      <c r="CK60" s="169" t="n">
        <v>45032.6309837963</v>
      </c>
      <c r="CL60" s="169" t="n">
        <v>44905.659375</v>
      </c>
      <c r="CQ60" s="4" t="n">
        <v>1311</v>
      </c>
      <c r="CR60" s="4" t="n">
        <v>1.3</v>
      </c>
      <c r="CS60" s="21" t="n">
        <v>6.9E-006</v>
      </c>
      <c r="CT60" s="4" t="n">
        <v>0.7622</v>
      </c>
      <c r="CU60" s="4" t="s">
        <v>334</v>
      </c>
      <c r="CV60" s="169" t="n">
        <v>45070</v>
      </c>
      <c r="CW60" s="4" t="s">
        <v>328</v>
      </c>
      <c r="CX60" s="4" t="s">
        <v>340</v>
      </c>
      <c r="CY60" s="4" t="n">
        <v>90</v>
      </c>
      <c r="CZ60" s="4" t="n">
        <v>150</v>
      </c>
      <c r="DB60" s="4" t="s">
        <v>363</v>
      </c>
      <c r="DC60" s="4" t="s">
        <v>453</v>
      </c>
      <c r="DD60" s="4" t="s">
        <v>365</v>
      </c>
      <c r="DF60" s="4" t="n">
        <v>0.117</v>
      </c>
      <c r="DG60" s="4" t="n">
        <v>1.02</v>
      </c>
      <c r="DH60" s="4" t="n">
        <v>75.73</v>
      </c>
      <c r="DI60" s="4" t="n">
        <v>12.299</v>
      </c>
      <c r="DJ60" s="4" t="n">
        <v>6.199</v>
      </c>
      <c r="DK60" s="4" t="n">
        <v>0.854</v>
      </c>
      <c r="DL60" s="4" t="n">
        <v>2.076</v>
      </c>
      <c r="DM60" s="4" t="n">
        <v>0.475</v>
      </c>
      <c r="DN60" s="4" t="n">
        <v>0.54</v>
      </c>
      <c r="DO60" s="4" t="n">
        <v>0.69</v>
      </c>
      <c r="EQ60" s="4" t="s">
        <v>335</v>
      </c>
      <c r="FR60" s="4" t="s">
        <v>454</v>
      </c>
    </row>
    <row r="61" customFormat="false" ht="15.75" hidden="false" customHeight="true" outlineLevel="0" collapsed="false">
      <c r="A61" s="169" t="n">
        <v>45047.375</v>
      </c>
      <c r="B61" s="169" t="n">
        <v>45078.375</v>
      </c>
      <c r="C61" s="4" t="s">
        <v>22</v>
      </c>
      <c r="D61" s="4" t="s">
        <v>455</v>
      </c>
      <c r="E61" s="4" t="n">
        <v>66780.48</v>
      </c>
      <c r="F61" s="4" t="n">
        <v>93559.45</v>
      </c>
      <c r="G61" s="4" t="n">
        <v>28.051596864839</v>
      </c>
      <c r="I61" s="4" t="n">
        <v>60.6821671175185</v>
      </c>
      <c r="J61" s="4" t="n">
        <v>87.1977908454652</v>
      </c>
      <c r="K61" s="4" t="n">
        <v>36558.0166666667</v>
      </c>
      <c r="L61" s="4" t="n">
        <v>1.64112603698227</v>
      </c>
      <c r="N61" s="4" t="n">
        <v>1.00594987706377</v>
      </c>
      <c r="P61" s="4" t="s">
        <v>324</v>
      </c>
      <c r="Q61" s="4" t="s">
        <v>325</v>
      </c>
      <c r="T61" s="4" t="s">
        <v>326</v>
      </c>
      <c r="U61" s="4" t="s">
        <v>22</v>
      </c>
      <c r="V61" s="170" t="n">
        <v>44903</v>
      </c>
      <c r="W61" s="4" t="n">
        <v>1</v>
      </c>
      <c r="X61" s="4" t="n">
        <v>9</v>
      </c>
      <c r="AA61" s="4" t="n">
        <v>4</v>
      </c>
      <c r="AB61" s="4" t="n">
        <v>68</v>
      </c>
      <c r="AC61" s="4" t="s">
        <v>327</v>
      </c>
      <c r="AD61" s="4" t="n">
        <v>7.98099994659424</v>
      </c>
      <c r="AE61" s="4" t="n">
        <v>68</v>
      </c>
      <c r="AF61" s="4" t="s">
        <v>328</v>
      </c>
      <c r="AG61" s="4" t="s">
        <v>329</v>
      </c>
      <c r="AH61" s="4" t="s">
        <v>330</v>
      </c>
      <c r="AI61" s="4" t="s">
        <v>331</v>
      </c>
      <c r="AR61" s="4" t="s">
        <v>332</v>
      </c>
      <c r="AS61" s="4" t="s">
        <v>332</v>
      </c>
      <c r="AT61" s="4" t="s">
        <v>332</v>
      </c>
      <c r="AU61" s="4" t="s">
        <v>333</v>
      </c>
      <c r="AV61" s="4" t="n">
        <v>800</v>
      </c>
      <c r="AW61" s="4" t="n">
        <v>0.5</v>
      </c>
      <c r="AX61" s="4" t="n">
        <v>400</v>
      </c>
      <c r="AY61" s="4" t="n">
        <v>0</v>
      </c>
      <c r="BB61" s="4" t="n">
        <v>1513.19995117187</v>
      </c>
      <c r="BC61" s="4" t="n">
        <v>13.1999998092651</v>
      </c>
      <c r="BD61" s="4" t="n">
        <v>100</v>
      </c>
      <c r="BE61" s="4" t="n">
        <v>0</v>
      </c>
      <c r="BH61" s="4" t="n">
        <v>150</v>
      </c>
      <c r="BI61" s="4" t="n">
        <v>0</v>
      </c>
      <c r="BN61" s="4" t="n">
        <v>0.25</v>
      </c>
      <c r="BO61" s="4" t="n">
        <v>-3</v>
      </c>
      <c r="BP61" s="4" t="n">
        <v>14.6499996185303</v>
      </c>
      <c r="BQ61" s="4" t="n">
        <v>60</v>
      </c>
      <c r="BR61" s="4" t="n">
        <v>13.1999998092651</v>
      </c>
      <c r="BV61" s="4" t="n">
        <v>1</v>
      </c>
      <c r="BW61" s="4" t="s">
        <v>334</v>
      </c>
      <c r="BX61" s="4" t="n">
        <v>60</v>
      </c>
      <c r="BY61" s="4" t="s">
        <v>332</v>
      </c>
      <c r="BZ61" s="4" t="s">
        <v>332</v>
      </c>
      <c r="CA61" s="4" t="s">
        <v>332</v>
      </c>
      <c r="CB61" s="4" t="s">
        <v>333</v>
      </c>
      <c r="CC61" s="4" t="s">
        <v>332</v>
      </c>
      <c r="CD61" s="4" t="s">
        <v>332</v>
      </c>
      <c r="CE61" s="4" t="s">
        <v>332</v>
      </c>
      <c r="CF61" s="4" t="s">
        <v>333</v>
      </c>
      <c r="CK61" s="169" t="n">
        <v>44912.5130439815</v>
      </c>
      <c r="CL61" s="169" t="n">
        <v>44912.5130439815</v>
      </c>
      <c r="CQ61" s="4" t="n">
        <v>1401</v>
      </c>
      <c r="CR61" s="4" t="n">
        <v>1.3</v>
      </c>
      <c r="CS61" s="21" t="n">
        <v>6.9E-006</v>
      </c>
      <c r="CT61" s="4" t="n">
        <v>0.824</v>
      </c>
      <c r="CU61" s="4" t="s">
        <v>334</v>
      </c>
      <c r="CV61" s="169" t="n">
        <v>45065</v>
      </c>
      <c r="CW61" s="4" t="s">
        <v>328</v>
      </c>
      <c r="CX61" s="4" t="s">
        <v>340</v>
      </c>
      <c r="CY61" s="4" t="n">
        <v>93</v>
      </c>
      <c r="CZ61" s="4" t="n">
        <v>50</v>
      </c>
      <c r="DB61" s="4" t="s">
        <v>386</v>
      </c>
      <c r="DC61" s="4" t="s">
        <v>456</v>
      </c>
      <c r="DD61" s="4" t="s">
        <v>355</v>
      </c>
      <c r="DF61" s="4" t="n">
        <v>0.534</v>
      </c>
      <c r="DG61" s="4" t="n">
        <v>0.769</v>
      </c>
      <c r="DH61" s="4" t="n">
        <v>70.478</v>
      </c>
      <c r="DI61" s="4" t="n">
        <v>14.337</v>
      </c>
      <c r="DJ61" s="4" t="n">
        <v>7.781</v>
      </c>
      <c r="DK61" s="4" t="n">
        <v>0.784</v>
      </c>
      <c r="DL61" s="4" t="n">
        <v>2.504</v>
      </c>
      <c r="DM61" s="4" t="n">
        <v>0.516</v>
      </c>
      <c r="DN61" s="4" t="n">
        <v>0.772</v>
      </c>
      <c r="DO61" s="4" t="n">
        <v>1.525</v>
      </c>
      <c r="EQ61" s="4" t="s">
        <v>335</v>
      </c>
      <c r="FR61" s="4" t="s">
        <v>400</v>
      </c>
    </row>
    <row r="62" customFormat="false" ht="15.75" hidden="false" customHeight="true" outlineLevel="0" collapsed="false">
      <c r="A62" s="169" t="n">
        <v>45047.375</v>
      </c>
      <c r="B62" s="169" t="n">
        <v>45078.375</v>
      </c>
      <c r="C62" s="4" t="s">
        <v>23</v>
      </c>
      <c r="D62" s="4" t="s">
        <v>457</v>
      </c>
      <c r="E62" s="4" t="n">
        <v>399850.83</v>
      </c>
      <c r="F62" s="4" t="n">
        <v>554593.09</v>
      </c>
      <c r="G62" s="4" t="n">
        <v>106.75946171161</v>
      </c>
      <c r="I62" s="4" t="n">
        <v>97.7599473820053</v>
      </c>
      <c r="J62" s="4" t="n">
        <v>115.991547780407</v>
      </c>
      <c r="K62" s="4" t="n">
        <v>43204.8666666667</v>
      </c>
      <c r="L62" s="4" t="n">
        <v>4.20744252823288</v>
      </c>
      <c r="N62" s="4" t="n">
        <v>1.00856452999971</v>
      </c>
      <c r="P62" s="4" t="s">
        <v>324</v>
      </c>
      <c r="Q62" s="4" t="s">
        <v>325</v>
      </c>
      <c r="T62" s="4" t="s">
        <v>326</v>
      </c>
      <c r="U62" s="4" t="s">
        <v>23</v>
      </c>
      <c r="V62" s="170" t="n">
        <v>44950</v>
      </c>
      <c r="W62" s="4" t="n">
        <v>1</v>
      </c>
      <c r="X62" s="4" t="n">
        <v>9</v>
      </c>
      <c r="AA62" s="4" t="n">
        <v>5</v>
      </c>
      <c r="AB62" s="4" t="n">
        <v>68</v>
      </c>
      <c r="AC62" s="4" t="s">
        <v>327</v>
      </c>
      <c r="AD62" s="4" t="n">
        <v>7.625</v>
      </c>
      <c r="AE62" s="4" t="n">
        <v>68</v>
      </c>
      <c r="AF62" s="4" t="s">
        <v>328</v>
      </c>
      <c r="AG62" s="4" t="s">
        <v>329</v>
      </c>
      <c r="AH62" s="4" t="s">
        <v>330</v>
      </c>
      <c r="AI62" s="4" t="s">
        <v>331</v>
      </c>
      <c r="AR62" s="4" t="s">
        <v>332</v>
      </c>
      <c r="AS62" s="4" t="s">
        <v>332</v>
      </c>
      <c r="AT62" s="4" t="s">
        <v>332</v>
      </c>
      <c r="AU62" s="4" t="s">
        <v>333</v>
      </c>
      <c r="AV62" s="4" t="n">
        <v>2047</v>
      </c>
      <c r="AW62" s="4" t="n">
        <v>0</v>
      </c>
      <c r="AX62" s="4" t="n">
        <v>400</v>
      </c>
      <c r="AY62" s="4" t="n">
        <v>0</v>
      </c>
      <c r="BB62" s="4" t="n">
        <v>2047</v>
      </c>
      <c r="BC62" s="4" t="n">
        <v>0</v>
      </c>
      <c r="BD62" s="4" t="n">
        <v>100</v>
      </c>
      <c r="BE62" s="4" t="n">
        <v>0</v>
      </c>
      <c r="BH62" s="4" t="n">
        <v>420</v>
      </c>
      <c r="BI62" s="4" t="n">
        <v>0</v>
      </c>
      <c r="BN62" s="4" t="n">
        <v>0.5</v>
      </c>
      <c r="BO62" s="4" t="n">
        <v>-3</v>
      </c>
      <c r="BP62" s="4" t="n">
        <v>14.6499996185303</v>
      </c>
      <c r="BQ62" s="4" t="n">
        <v>60</v>
      </c>
      <c r="BR62" s="4" t="n">
        <v>13.1999998092651</v>
      </c>
      <c r="BV62" s="4" t="n">
        <v>1</v>
      </c>
      <c r="BW62" s="4" t="s">
        <v>334</v>
      </c>
      <c r="BX62" s="4" t="n">
        <v>60</v>
      </c>
      <c r="BY62" s="4" t="s">
        <v>332</v>
      </c>
      <c r="BZ62" s="4" t="s">
        <v>332</v>
      </c>
      <c r="CA62" s="4" t="s">
        <v>332</v>
      </c>
      <c r="CB62" s="4" t="s">
        <v>333</v>
      </c>
      <c r="CC62" s="4" t="s">
        <v>332</v>
      </c>
      <c r="CD62" s="4" t="s">
        <v>332</v>
      </c>
      <c r="CE62" s="4" t="s">
        <v>332</v>
      </c>
      <c r="CF62" s="4" t="s">
        <v>333</v>
      </c>
      <c r="CK62" s="169" t="n">
        <v>45039.5382523148</v>
      </c>
      <c r="CL62" s="169" t="n">
        <v>45039.5382523148</v>
      </c>
      <c r="CQ62" s="4" t="n">
        <v>1387</v>
      </c>
      <c r="CR62" s="4" t="n">
        <v>1.3</v>
      </c>
      <c r="CS62" s="21" t="n">
        <v>6.9E-006</v>
      </c>
      <c r="CT62" s="4" t="n">
        <v>0.809</v>
      </c>
      <c r="CU62" s="4" t="s">
        <v>334</v>
      </c>
      <c r="CV62" s="169" t="n">
        <v>45069</v>
      </c>
      <c r="CW62" s="4" t="s">
        <v>328</v>
      </c>
      <c r="CX62" s="4" t="s">
        <v>393</v>
      </c>
      <c r="CY62" s="4" t="n">
        <v>122</v>
      </c>
      <c r="CZ62" s="4" t="n">
        <v>30</v>
      </c>
      <c r="DB62" s="4" t="s">
        <v>363</v>
      </c>
      <c r="DC62" s="4" t="s">
        <v>458</v>
      </c>
      <c r="DD62" s="4" t="s">
        <v>360</v>
      </c>
      <c r="DF62" s="4" t="n">
        <v>0.092</v>
      </c>
      <c r="DG62" s="4" t="n">
        <v>0.82</v>
      </c>
      <c r="DH62" s="4" t="n">
        <v>73.125</v>
      </c>
      <c r="DI62" s="4" t="n">
        <v>12.76</v>
      </c>
      <c r="DJ62" s="4" t="n">
        <v>6.744</v>
      </c>
      <c r="DK62" s="4" t="n">
        <v>0.988</v>
      </c>
      <c r="DL62" s="4" t="n">
        <v>2.458</v>
      </c>
      <c r="DM62" s="4" t="n">
        <v>0.618</v>
      </c>
      <c r="DN62" s="4" t="n">
        <v>0.766</v>
      </c>
      <c r="DO62" s="4" t="n">
        <v>1.629</v>
      </c>
      <c r="EQ62" s="4" t="s">
        <v>335</v>
      </c>
      <c r="FR62" s="4" t="s">
        <v>459</v>
      </c>
    </row>
    <row r="63" customFormat="false" ht="15.75" hidden="false" customHeight="true" outlineLevel="0" collapsed="false">
      <c r="A63" s="169" t="n">
        <v>45047.375</v>
      </c>
      <c r="B63" s="169" t="n">
        <v>45078.375</v>
      </c>
      <c r="C63" s="4" t="s">
        <v>460</v>
      </c>
      <c r="D63" s="4" t="s">
        <v>461</v>
      </c>
      <c r="E63" s="4" t="n">
        <v>0</v>
      </c>
      <c r="F63" s="4" t="n">
        <v>0</v>
      </c>
      <c r="G63" s="4" t="n">
        <v>0</v>
      </c>
      <c r="I63" s="4" t="n">
        <v>13.4748598170537</v>
      </c>
      <c r="J63" s="4" t="n">
        <v>79.2792533546366</v>
      </c>
      <c r="K63" s="4" t="n">
        <v>0</v>
      </c>
      <c r="L63" s="4" t="n">
        <v>0</v>
      </c>
      <c r="P63" s="4" t="s">
        <v>324</v>
      </c>
      <c r="Q63" s="4" t="s">
        <v>325</v>
      </c>
      <c r="T63" s="4" t="s">
        <v>326</v>
      </c>
      <c r="U63" s="4" t="s">
        <v>462</v>
      </c>
      <c r="V63" s="170" t="n">
        <v>45026</v>
      </c>
      <c r="W63" s="4" t="n">
        <v>1</v>
      </c>
      <c r="X63" s="4" t="n">
        <v>9</v>
      </c>
      <c r="AA63" s="4" t="n">
        <v>3.25</v>
      </c>
      <c r="AB63" s="4" t="n">
        <v>68</v>
      </c>
      <c r="AC63" s="4" t="s">
        <v>327</v>
      </c>
      <c r="AD63" s="4" t="n">
        <v>7.625</v>
      </c>
      <c r="AE63" s="4" t="n">
        <v>68</v>
      </c>
      <c r="AF63" s="4" t="s">
        <v>328</v>
      </c>
      <c r="AG63" s="4" t="s">
        <v>329</v>
      </c>
      <c r="AH63" s="4" t="s">
        <v>330</v>
      </c>
      <c r="AI63" s="4" t="s">
        <v>331</v>
      </c>
      <c r="AR63" s="4" t="s">
        <v>332</v>
      </c>
      <c r="AS63" s="4" t="s">
        <v>332</v>
      </c>
      <c r="AT63" s="4" t="s">
        <v>332</v>
      </c>
      <c r="AU63" s="4" t="s">
        <v>333</v>
      </c>
      <c r="AV63" s="4" t="n">
        <v>2047</v>
      </c>
      <c r="AW63" s="4" t="n">
        <v>0</v>
      </c>
      <c r="AX63" s="4" t="n">
        <v>400</v>
      </c>
      <c r="AY63" s="4" t="n">
        <v>0</v>
      </c>
      <c r="BB63" s="4" t="n">
        <v>2047</v>
      </c>
      <c r="BC63" s="4" t="n">
        <v>0</v>
      </c>
      <c r="BD63" s="4" t="n">
        <v>100</v>
      </c>
      <c r="BE63" s="4" t="n">
        <v>0</v>
      </c>
      <c r="BH63" s="4" t="n">
        <v>420</v>
      </c>
      <c r="BI63" s="4" t="n">
        <v>0</v>
      </c>
      <c r="BN63" s="4" t="n">
        <v>0.5</v>
      </c>
      <c r="BO63" s="4" t="n">
        <v>-3</v>
      </c>
      <c r="BP63" s="4" t="n">
        <v>14.6499996185303</v>
      </c>
      <c r="BQ63" s="4" t="n">
        <v>60</v>
      </c>
      <c r="BR63" s="4" t="n">
        <v>13.1999998092651</v>
      </c>
      <c r="BV63" s="4" t="n">
        <v>1</v>
      </c>
      <c r="BW63" s="4" t="s">
        <v>334</v>
      </c>
      <c r="BX63" s="4" t="n">
        <v>60</v>
      </c>
      <c r="BY63" s="4" t="s">
        <v>332</v>
      </c>
      <c r="BZ63" s="4" t="s">
        <v>332</v>
      </c>
      <c r="CA63" s="4" t="s">
        <v>332</v>
      </c>
      <c r="CB63" s="4" t="s">
        <v>333</v>
      </c>
      <c r="CC63" s="4" t="s">
        <v>332</v>
      </c>
      <c r="CD63" s="4" t="s">
        <v>332</v>
      </c>
      <c r="CE63" s="4" t="s">
        <v>332</v>
      </c>
      <c r="CF63" s="4" t="s">
        <v>333</v>
      </c>
      <c r="CK63" s="169" t="n">
        <v>45030.5958449074</v>
      </c>
      <c r="CL63" s="169" t="n">
        <v>44955.5354513889</v>
      </c>
      <c r="CQ63" s="4" t="n">
        <v>1000</v>
      </c>
      <c r="CR63" s="4" t="n">
        <v>1.29999995231628</v>
      </c>
      <c r="CS63" s="4" t="n">
        <v>0.0102679999545217</v>
      </c>
      <c r="CT63" s="4" t="n">
        <v>0.600000023841858</v>
      </c>
      <c r="CW63" s="4" t="s">
        <v>327</v>
      </c>
      <c r="DF63" s="4" t="n">
        <v>0</v>
      </c>
      <c r="DG63" s="4" t="n">
        <v>0</v>
      </c>
      <c r="DH63" s="4" t="n">
        <v>100</v>
      </c>
      <c r="DI63" s="4" t="n">
        <v>0</v>
      </c>
      <c r="DJ63" s="4" t="n">
        <v>0</v>
      </c>
      <c r="DK63" s="4" t="n">
        <v>0</v>
      </c>
      <c r="DL63" s="4" t="n">
        <v>0</v>
      </c>
      <c r="DM63" s="4" t="n">
        <v>0</v>
      </c>
      <c r="DN63" s="4" t="n">
        <v>0</v>
      </c>
      <c r="DO63" s="4" t="n">
        <v>0</v>
      </c>
      <c r="DQ63" s="4" t="n">
        <v>0</v>
      </c>
      <c r="DR63" s="4" t="n">
        <v>0</v>
      </c>
      <c r="DS63" s="4" t="n">
        <v>0</v>
      </c>
      <c r="DT63" s="4" t="n">
        <v>0</v>
      </c>
      <c r="DU63" s="4" t="n">
        <v>0</v>
      </c>
      <c r="DV63" s="4" t="n">
        <v>0</v>
      </c>
      <c r="DW63" s="4" t="n">
        <v>0</v>
      </c>
      <c r="DX63" s="4" t="n">
        <v>0</v>
      </c>
      <c r="DY63" s="4" t="n">
        <v>0</v>
      </c>
      <c r="DZ63" s="4" t="n">
        <v>0</v>
      </c>
      <c r="EA63" s="4" t="n">
        <v>0</v>
      </c>
      <c r="EQ63" s="4" t="s">
        <v>335</v>
      </c>
      <c r="FR63" s="4" t="s">
        <v>459</v>
      </c>
    </row>
    <row r="64" customFormat="false" ht="15.75" hidden="false" customHeight="true" outlineLevel="0" collapsed="false">
      <c r="A64" s="169" t="n">
        <v>45047.375</v>
      </c>
      <c r="B64" s="169" t="n">
        <v>45078.375</v>
      </c>
      <c r="C64" s="4" t="s">
        <v>138</v>
      </c>
      <c r="D64" s="4" t="s">
        <v>463</v>
      </c>
      <c r="E64" s="4" t="n">
        <v>0</v>
      </c>
      <c r="F64" s="4" t="n">
        <v>0</v>
      </c>
      <c r="G64" s="4" t="n">
        <v>0</v>
      </c>
      <c r="I64" s="4" t="n">
        <v>13.5630726903997</v>
      </c>
      <c r="J64" s="4" t="n">
        <v>79.1279670910169</v>
      </c>
      <c r="K64" s="4" t="n">
        <v>0</v>
      </c>
      <c r="L64" s="21" t="n">
        <v>3.95206898833895E-007</v>
      </c>
      <c r="N64" s="4" t="n">
        <v>0.999527755393275</v>
      </c>
      <c r="P64" s="4" t="s">
        <v>324</v>
      </c>
      <c r="Q64" s="4" t="s">
        <v>325</v>
      </c>
      <c r="T64" s="4" t="s">
        <v>326</v>
      </c>
      <c r="U64" s="4" t="s">
        <v>138</v>
      </c>
      <c r="V64" s="170" t="n">
        <v>44470</v>
      </c>
      <c r="W64" s="4" t="n">
        <v>1</v>
      </c>
      <c r="X64" s="4" t="n">
        <v>9</v>
      </c>
      <c r="AA64" s="4" t="n">
        <v>1</v>
      </c>
      <c r="AB64" s="4" t="n">
        <v>68</v>
      </c>
      <c r="AC64" s="4" t="s">
        <v>327</v>
      </c>
      <c r="AD64" s="4" t="n">
        <v>2.06699991226196</v>
      </c>
      <c r="AE64" s="4" t="n">
        <v>68</v>
      </c>
      <c r="AF64" s="4" t="s">
        <v>328</v>
      </c>
      <c r="AG64" s="4" t="s">
        <v>329</v>
      </c>
      <c r="AH64" s="4" t="s">
        <v>330</v>
      </c>
      <c r="AI64" s="4" t="s">
        <v>331</v>
      </c>
      <c r="AR64" s="4" t="s">
        <v>332</v>
      </c>
      <c r="AS64" s="4" t="s">
        <v>332</v>
      </c>
      <c r="AT64" s="4" t="s">
        <v>332</v>
      </c>
      <c r="AU64" s="4" t="s">
        <v>333</v>
      </c>
      <c r="AV64" s="4" t="n">
        <v>2047</v>
      </c>
      <c r="AW64" s="4" t="n">
        <v>0</v>
      </c>
      <c r="AX64" s="4" t="n">
        <v>400</v>
      </c>
      <c r="AY64" s="4" t="n">
        <v>0</v>
      </c>
      <c r="BB64" s="4" t="n">
        <v>2047.96875</v>
      </c>
      <c r="BC64" s="4" t="n">
        <v>0</v>
      </c>
      <c r="BD64" s="4" t="n">
        <v>1513.19995117187</v>
      </c>
      <c r="BE64" s="4" t="n">
        <v>13.1999998092651</v>
      </c>
      <c r="BH64" s="4" t="n">
        <v>420</v>
      </c>
      <c r="BI64" s="4" t="n">
        <v>0</v>
      </c>
      <c r="BN64" s="4" t="n">
        <v>0.5</v>
      </c>
      <c r="BO64" s="4" t="n">
        <v>-3</v>
      </c>
      <c r="BP64" s="4" t="n">
        <v>14.6499996185303</v>
      </c>
      <c r="BQ64" s="4" t="n">
        <v>60</v>
      </c>
      <c r="BR64" s="4" t="n">
        <v>13.1999998092651</v>
      </c>
      <c r="BV64" s="4" t="n">
        <v>1</v>
      </c>
      <c r="BW64" s="4" t="s">
        <v>334</v>
      </c>
      <c r="BX64" s="4" t="n">
        <v>60</v>
      </c>
      <c r="BY64" s="4" t="s">
        <v>332</v>
      </c>
      <c r="BZ64" s="4" t="s">
        <v>332</v>
      </c>
      <c r="CA64" s="4" t="s">
        <v>332</v>
      </c>
      <c r="CB64" s="4" t="s">
        <v>333</v>
      </c>
      <c r="CC64" s="4" t="s">
        <v>332</v>
      </c>
      <c r="CD64" s="4" t="s">
        <v>332</v>
      </c>
      <c r="CE64" s="4" t="s">
        <v>332</v>
      </c>
      <c r="CF64" s="4" t="s">
        <v>333</v>
      </c>
      <c r="CK64" s="169" t="n">
        <v>44763.5364583333</v>
      </c>
      <c r="CL64" s="169" t="n">
        <v>44763.5364583333</v>
      </c>
      <c r="CQ64" s="4" t="n">
        <v>1227</v>
      </c>
      <c r="CR64" s="4" t="n">
        <v>1.3</v>
      </c>
      <c r="CS64" s="21" t="n">
        <v>6.9E-006</v>
      </c>
      <c r="CT64" s="4" t="n">
        <v>0.7042</v>
      </c>
      <c r="CU64" s="4" t="s">
        <v>334</v>
      </c>
      <c r="CV64" s="169" t="n">
        <v>45064</v>
      </c>
      <c r="CW64" s="4" t="s">
        <v>328</v>
      </c>
      <c r="CX64" s="4" t="s">
        <v>340</v>
      </c>
      <c r="CY64" s="4" t="n">
        <v>97</v>
      </c>
      <c r="CZ64" s="4" t="n">
        <v>30</v>
      </c>
      <c r="DB64" s="4" t="s">
        <v>363</v>
      </c>
      <c r="DC64" s="4" t="s">
        <v>430</v>
      </c>
      <c r="DD64" s="4" t="s">
        <v>360</v>
      </c>
      <c r="DF64" s="4" t="n">
        <v>0.121</v>
      </c>
      <c r="DG64" s="4" t="n">
        <v>0.673000000000001</v>
      </c>
      <c r="DH64" s="4" t="n">
        <v>84.2049999999999</v>
      </c>
      <c r="DI64" s="4" t="n">
        <v>7.61500000000001</v>
      </c>
      <c r="DJ64" s="4" t="n">
        <v>3.665</v>
      </c>
      <c r="DK64" s="4" t="n">
        <v>0.5</v>
      </c>
      <c r="DL64" s="4" t="n">
        <v>1.279</v>
      </c>
      <c r="DM64" s="4" t="n">
        <v>0.353</v>
      </c>
      <c r="DN64" s="4" t="n">
        <v>0.431</v>
      </c>
      <c r="DO64" s="4" t="n">
        <v>1.158</v>
      </c>
      <c r="EQ64" s="4" t="s">
        <v>335</v>
      </c>
      <c r="FR64" s="4" t="s">
        <v>395</v>
      </c>
    </row>
    <row r="65" customFormat="false" ht="15.75" hidden="false" customHeight="true" outlineLevel="0" collapsed="false">
      <c r="A65" s="169" t="n">
        <v>45047.375</v>
      </c>
      <c r="B65" s="169" t="n">
        <v>45078.375</v>
      </c>
      <c r="C65" s="4" t="s">
        <v>141</v>
      </c>
      <c r="D65" s="4" t="s">
        <v>464</v>
      </c>
      <c r="E65" s="4" t="n">
        <v>262167.15</v>
      </c>
      <c r="F65" s="4" t="n">
        <v>326398.1</v>
      </c>
      <c r="G65" s="4" t="n">
        <v>178.115825467084</v>
      </c>
      <c r="I65" s="4" t="n">
        <v>1101.1949949563</v>
      </c>
      <c r="J65" s="4" t="n">
        <v>108.293005817355</v>
      </c>
      <c r="K65" s="4" t="n">
        <v>44640</v>
      </c>
      <c r="L65" s="4" t="n">
        <v>18.543282805607</v>
      </c>
      <c r="N65" s="4" t="n">
        <v>1.10550600825078</v>
      </c>
      <c r="P65" s="4" t="s">
        <v>324</v>
      </c>
      <c r="Q65" s="4" t="s">
        <v>325</v>
      </c>
      <c r="T65" s="4" t="s">
        <v>326</v>
      </c>
      <c r="U65" s="4" t="s">
        <v>141</v>
      </c>
      <c r="V65" s="170" t="n">
        <v>44573</v>
      </c>
      <c r="W65" s="4" t="n">
        <v>1</v>
      </c>
      <c r="X65" s="4" t="n">
        <v>9</v>
      </c>
      <c r="AA65" s="4" t="n">
        <v>1.75</v>
      </c>
      <c r="AB65" s="4" t="n">
        <v>68</v>
      </c>
      <c r="AC65" s="4" t="s">
        <v>327</v>
      </c>
      <c r="AD65" s="4" t="n">
        <v>3.0699999332428</v>
      </c>
      <c r="AE65" s="4" t="n">
        <v>68</v>
      </c>
      <c r="AF65" s="4" t="s">
        <v>328</v>
      </c>
      <c r="AG65" s="4" t="s">
        <v>329</v>
      </c>
      <c r="AH65" s="4" t="s">
        <v>330</v>
      </c>
      <c r="AI65" s="4" t="s">
        <v>331</v>
      </c>
      <c r="AR65" s="4" t="s">
        <v>332</v>
      </c>
      <c r="AS65" s="4" t="s">
        <v>332</v>
      </c>
      <c r="AT65" s="4" t="s">
        <v>332</v>
      </c>
      <c r="AU65" s="4" t="s">
        <v>333</v>
      </c>
      <c r="AV65" s="4" t="n">
        <v>2047</v>
      </c>
      <c r="AW65" s="4" t="n">
        <v>0</v>
      </c>
      <c r="AX65" s="4" t="n">
        <v>250.006423950195</v>
      </c>
      <c r="AY65" s="4" t="n">
        <v>-0.000146999998833053</v>
      </c>
      <c r="BB65" s="4" t="n">
        <v>2047.96875</v>
      </c>
      <c r="BC65" s="4" t="n">
        <v>0</v>
      </c>
      <c r="BD65" s="4" t="n">
        <v>1514.33996582031</v>
      </c>
      <c r="BE65" s="4" t="n">
        <v>14.336651802063</v>
      </c>
      <c r="BH65" s="4" t="n">
        <v>420</v>
      </c>
      <c r="BI65" s="4" t="n">
        <v>0</v>
      </c>
      <c r="BN65" s="4" t="n">
        <v>0.5</v>
      </c>
      <c r="BO65" s="4" t="n">
        <v>-3</v>
      </c>
      <c r="BP65" s="4" t="n">
        <v>14.6499996185303</v>
      </c>
      <c r="BQ65" s="4" t="n">
        <v>60</v>
      </c>
      <c r="BR65" s="4" t="n">
        <v>13.1999998092651</v>
      </c>
      <c r="BV65" s="4" t="n">
        <v>1</v>
      </c>
      <c r="BW65" s="4" t="s">
        <v>334</v>
      </c>
      <c r="BX65" s="4" t="n">
        <v>60</v>
      </c>
      <c r="BY65" s="4" t="s">
        <v>332</v>
      </c>
      <c r="BZ65" s="4" t="s">
        <v>332</v>
      </c>
      <c r="CA65" s="4" t="s">
        <v>332</v>
      </c>
      <c r="CB65" s="4" t="s">
        <v>333</v>
      </c>
      <c r="CC65" s="4" t="s">
        <v>332</v>
      </c>
      <c r="CD65" s="4" t="s">
        <v>332</v>
      </c>
      <c r="CE65" s="4" t="s">
        <v>332</v>
      </c>
      <c r="CF65" s="4" t="s">
        <v>333</v>
      </c>
      <c r="CK65" s="169" t="n">
        <v>44955.5354513889</v>
      </c>
      <c r="CL65" s="169" t="n">
        <v>44955.5354513889</v>
      </c>
      <c r="CQ65" s="4" t="n">
        <v>1245</v>
      </c>
      <c r="CR65" s="4" t="n">
        <v>1.3</v>
      </c>
      <c r="CS65" s="21" t="n">
        <v>6.9E-006</v>
      </c>
      <c r="CT65" s="4" t="n">
        <v>0.7241</v>
      </c>
      <c r="CU65" s="4" t="s">
        <v>334</v>
      </c>
      <c r="CV65" s="169" t="n">
        <v>45065</v>
      </c>
      <c r="CW65" s="4" t="s">
        <v>327</v>
      </c>
      <c r="CX65" s="4" t="s">
        <v>393</v>
      </c>
      <c r="CY65" s="4" t="n">
        <v>137</v>
      </c>
      <c r="CZ65" s="4" t="n">
        <v>1064</v>
      </c>
      <c r="DB65" s="4" t="s">
        <v>363</v>
      </c>
      <c r="DC65" s="4" t="s">
        <v>465</v>
      </c>
      <c r="DD65" s="4" t="s">
        <v>365</v>
      </c>
      <c r="DF65" s="4" t="n">
        <v>0.169</v>
      </c>
      <c r="DG65" s="4" t="n">
        <v>1.369</v>
      </c>
      <c r="DH65" s="4" t="n">
        <v>79.224</v>
      </c>
      <c r="DI65" s="4" t="n">
        <v>10.904</v>
      </c>
      <c r="DJ65" s="4" t="n">
        <v>4.714</v>
      </c>
      <c r="DK65" s="4" t="n">
        <v>0.747</v>
      </c>
      <c r="DL65" s="4" t="n">
        <v>1.59</v>
      </c>
      <c r="DM65" s="4" t="n">
        <v>0.395</v>
      </c>
      <c r="DN65" s="4" t="n">
        <v>0.426</v>
      </c>
      <c r="DO65" s="4" t="n">
        <v>0.462</v>
      </c>
      <c r="EQ65" s="4" t="s">
        <v>335</v>
      </c>
      <c r="FR65" s="4" t="s">
        <v>466</v>
      </c>
    </row>
    <row r="66" customFormat="false" ht="15.75" hidden="false" customHeight="true" outlineLevel="0" collapsed="false">
      <c r="A66" s="169" t="n">
        <v>45047.375</v>
      </c>
      <c r="B66" s="169" t="n">
        <v>45078.375</v>
      </c>
      <c r="C66" s="4" t="s">
        <v>157</v>
      </c>
      <c r="D66" s="4" t="s">
        <v>467</v>
      </c>
      <c r="E66" s="4" t="n">
        <v>0</v>
      </c>
      <c r="F66" s="4" t="n">
        <v>0</v>
      </c>
      <c r="G66" s="4" t="n">
        <v>0</v>
      </c>
      <c r="I66" s="4" t="n">
        <v>13.2348702517889</v>
      </c>
      <c r="J66" s="4" t="n">
        <v>81.0159608010323</v>
      </c>
      <c r="K66" s="4" t="n">
        <v>0</v>
      </c>
      <c r="L66" s="4" t="n">
        <v>0</v>
      </c>
      <c r="P66" s="4" t="s">
        <v>324</v>
      </c>
      <c r="Q66" s="4" t="s">
        <v>325</v>
      </c>
      <c r="T66" s="4" t="s">
        <v>326</v>
      </c>
      <c r="U66" s="4" t="s">
        <v>157</v>
      </c>
      <c r="V66" s="170" t="n">
        <v>44873</v>
      </c>
      <c r="W66" s="4" t="n">
        <v>1</v>
      </c>
      <c r="X66" s="4" t="n">
        <v>9</v>
      </c>
      <c r="AA66" s="4" t="n">
        <v>1.75</v>
      </c>
      <c r="AB66" s="4" t="n">
        <v>68</v>
      </c>
      <c r="AC66" s="4" t="s">
        <v>327</v>
      </c>
      <c r="AD66" s="4" t="n">
        <v>3.82599997520447</v>
      </c>
      <c r="AE66" s="4" t="n">
        <v>68</v>
      </c>
      <c r="AF66" s="4" t="s">
        <v>328</v>
      </c>
      <c r="AG66" s="4" t="s">
        <v>329</v>
      </c>
      <c r="AH66" s="4" t="s">
        <v>330</v>
      </c>
      <c r="AI66" s="4" t="s">
        <v>331</v>
      </c>
      <c r="AR66" s="4" t="s">
        <v>332</v>
      </c>
      <c r="AS66" s="4" t="s">
        <v>332</v>
      </c>
      <c r="AT66" s="4" t="s">
        <v>332</v>
      </c>
      <c r="AU66" s="4" t="s">
        <v>333</v>
      </c>
      <c r="AV66" s="4" t="n">
        <v>2047</v>
      </c>
      <c r="AW66" s="4" t="n">
        <v>0</v>
      </c>
      <c r="AX66" s="4" t="n">
        <v>250</v>
      </c>
      <c r="AY66" s="4" t="n">
        <v>0</v>
      </c>
      <c r="BB66" s="4" t="n">
        <v>2047.96875</v>
      </c>
      <c r="BC66" s="4" t="n">
        <v>0</v>
      </c>
      <c r="BD66" s="4" t="n">
        <v>100</v>
      </c>
      <c r="BE66" s="4" t="n">
        <v>0</v>
      </c>
      <c r="BH66" s="4" t="n">
        <v>420</v>
      </c>
      <c r="BI66" s="4" t="n">
        <v>0</v>
      </c>
      <c r="BN66" s="4" t="n">
        <v>0.5</v>
      </c>
      <c r="BO66" s="4" t="n">
        <v>-3</v>
      </c>
      <c r="BP66" s="4" t="n">
        <v>14.6499996185303</v>
      </c>
      <c r="BQ66" s="4" t="n">
        <v>60</v>
      </c>
      <c r="BR66" s="4" t="n">
        <v>13.1999998092651</v>
      </c>
      <c r="BV66" s="4" t="n">
        <v>1</v>
      </c>
      <c r="BW66" s="4" t="s">
        <v>334</v>
      </c>
      <c r="BX66" s="4" t="n">
        <v>60</v>
      </c>
      <c r="BY66" s="4" t="s">
        <v>332</v>
      </c>
      <c r="BZ66" s="4" t="s">
        <v>332</v>
      </c>
      <c r="CA66" s="4" t="s">
        <v>332</v>
      </c>
      <c r="CB66" s="4" t="s">
        <v>333</v>
      </c>
      <c r="CC66" s="4" t="s">
        <v>332</v>
      </c>
      <c r="CD66" s="4" t="s">
        <v>332</v>
      </c>
      <c r="CE66" s="4" t="s">
        <v>332</v>
      </c>
      <c r="CF66" s="4" t="s">
        <v>333</v>
      </c>
      <c r="CK66" s="169" t="n">
        <v>44939.4989236111</v>
      </c>
      <c r="CL66" s="169" t="n">
        <v>44939.4989236111</v>
      </c>
      <c r="CQ66" s="4" t="n">
        <v>1342</v>
      </c>
      <c r="CR66" s="4" t="n">
        <v>1.3</v>
      </c>
      <c r="CS66" s="21" t="n">
        <v>6.9E-006</v>
      </c>
      <c r="CT66" s="4" t="n">
        <v>0.7831</v>
      </c>
      <c r="CU66" s="4" t="s">
        <v>334</v>
      </c>
      <c r="CV66" s="169" t="n">
        <v>45064</v>
      </c>
      <c r="CW66" s="4" t="s">
        <v>328</v>
      </c>
      <c r="CX66" s="4" t="s">
        <v>350</v>
      </c>
      <c r="CY66" s="4" t="n">
        <v>106</v>
      </c>
      <c r="CZ66" s="4" t="n">
        <v>30</v>
      </c>
      <c r="DB66" s="4" t="s">
        <v>363</v>
      </c>
      <c r="DC66" s="4" t="s">
        <v>451</v>
      </c>
      <c r="DD66" s="4" t="s">
        <v>360</v>
      </c>
      <c r="DF66" s="4" t="n">
        <v>0.231</v>
      </c>
      <c r="DG66" s="4" t="n">
        <v>0.898</v>
      </c>
      <c r="DH66" s="4" t="n">
        <v>77.3209999999999</v>
      </c>
      <c r="DI66" s="4" t="n">
        <v>9.41999999999999</v>
      </c>
      <c r="DJ66" s="4" t="n">
        <v>6.01</v>
      </c>
      <c r="DK66" s="4" t="n">
        <v>0.760999999999999</v>
      </c>
      <c r="DL66" s="4" t="n">
        <v>2.32</v>
      </c>
      <c r="DM66" s="4" t="n">
        <v>0.588000000000001</v>
      </c>
      <c r="DN66" s="4" t="n">
        <v>0.705</v>
      </c>
      <c r="DO66" s="4" t="n">
        <v>1.746</v>
      </c>
      <c r="EQ66" s="4" t="s">
        <v>335</v>
      </c>
      <c r="FR66" s="4" t="s">
        <v>400</v>
      </c>
    </row>
    <row r="67" customFormat="false" ht="15.75" hidden="false" customHeight="true" outlineLevel="0" collapsed="false">
      <c r="A67" s="169" t="n">
        <v>45047.375</v>
      </c>
      <c r="B67" s="169" t="n">
        <v>45078.375</v>
      </c>
      <c r="C67" s="4" t="s">
        <v>159</v>
      </c>
      <c r="D67" s="4" t="s">
        <v>468</v>
      </c>
      <c r="E67" s="4" t="n">
        <v>0</v>
      </c>
      <c r="F67" s="4" t="n">
        <v>0</v>
      </c>
      <c r="G67" s="4" t="n">
        <v>0</v>
      </c>
      <c r="I67" s="4" t="n">
        <v>11.5492414095068</v>
      </c>
      <c r="J67" s="4" t="n">
        <v>79.5926992559946</v>
      </c>
      <c r="K67" s="4" t="n">
        <v>0</v>
      </c>
      <c r="L67" s="4" t="n">
        <v>0</v>
      </c>
      <c r="P67" s="4" t="s">
        <v>324</v>
      </c>
      <c r="Q67" s="4" t="s">
        <v>325</v>
      </c>
      <c r="T67" s="4" t="s">
        <v>326</v>
      </c>
      <c r="U67" s="4" t="s">
        <v>159</v>
      </c>
      <c r="V67" s="170" t="n">
        <v>44732</v>
      </c>
      <c r="W67" s="4" t="n">
        <v>1</v>
      </c>
      <c r="X67" s="4" t="n">
        <v>9</v>
      </c>
      <c r="AA67" s="4" t="n">
        <v>1.5</v>
      </c>
      <c r="AB67" s="4" t="n">
        <v>68</v>
      </c>
      <c r="AC67" s="4" t="s">
        <v>327</v>
      </c>
      <c r="AD67" s="4" t="n">
        <v>3.06800007820129</v>
      </c>
      <c r="AE67" s="4" t="n">
        <v>68</v>
      </c>
      <c r="AF67" s="4" t="s">
        <v>328</v>
      </c>
      <c r="AG67" s="4" t="s">
        <v>329</v>
      </c>
      <c r="AH67" s="4" t="s">
        <v>330</v>
      </c>
      <c r="AI67" s="4" t="s">
        <v>331</v>
      </c>
      <c r="AR67" s="4" t="s">
        <v>332</v>
      </c>
      <c r="AS67" s="4" t="s">
        <v>332</v>
      </c>
      <c r="AT67" s="4" t="s">
        <v>332</v>
      </c>
      <c r="AU67" s="4" t="s">
        <v>333</v>
      </c>
      <c r="AV67" s="4" t="n">
        <v>2047</v>
      </c>
      <c r="AW67" s="4" t="n">
        <v>0</v>
      </c>
      <c r="AX67" s="4" t="n">
        <v>250</v>
      </c>
      <c r="AY67" s="4" t="n">
        <v>0</v>
      </c>
      <c r="BB67" s="4" t="n">
        <v>2047.96875</v>
      </c>
      <c r="BC67" s="4" t="n">
        <v>0</v>
      </c>
      <c r="BD67" s="4" t="n">
        <v>1514.31689453125</v>
      </c>
      <c r="BE67" s="4" t="n">
        <v>14.3157377243042</v>
      </c>
      <c r="BH67" s="4" t="n">
        <v>420</v>
      </c>
      <c r="BI67" s="4" t="n">
        <v>0</v>
      </c>
      <c r="BN67" s="4" t="n">
        <v>0.5</v>
      </c>
      <c r="BO67" s="4" t="n">
        <v>-3</v>
      </c>
      <c r="BP67" s="4" t="n">
        <v>14.6499996185303</v>
      </c>
      <c r="BQ67" s="4" t="n">
        <v>60</v>
      </c>
      <c r="BR67" s="4" t="n">
        <v>13.1999998092651</v>
      </c>
      <c r="BV67" s="4" t="n">
        <v>1</v>
      </c>
      <c r="BW67" s="4" t="s">
        <v>334</v>
      </c>
      <c r="BX67" s="4" t="n">
        <v>60</v>
      </c>
      <c r="BY67" s="4" t="s">
        <v>332</v>
      </c>
      <c r="BZ67" s="4" t="s">
        <v>332</v>
      </c>
      <c r="CA67" s="4" t="s">
        <v>332</v>
      </c>
      <c r="CB67" s="4" t="s">
        <v>333</v>
      </c>
      <c r="CC67" s="4" t="s">
        <v>332</v>
      </c>
      <c r="CD67" s="4" t="s">
        <v>332</v>
      </c>
      <c r="CE67" s="4" t="s">
        <v>332</v>
      </c>
      <c r="CF67" s="4" t="s">
        <v>333</v>
      </c>
      <c r="CK67" s="169" t="n">
        <v>43531.5672222222</v>
      </c>
      <c r="CQ67" s="4" t="n">
        <v>1285</v>
      </c>
      <c r="CR67" s="4" t="n">
        <v>1.3</v>
      </c>
      <c r="CS67" s="21" t="n">
        <v>6.9E-006</v>
      </c>
      <c r="CT67" s="4" t="n">
        <v>0.7433</v>
      </c>
      <c r="CU67" s="4" t="s">
        <v>334</v>
      </c>
      <c r="CV67" s="169" t="n">
        <v>45071</v>
      </c>
      <c r="CW67" s="4" t="s">
        <v>328</v>
      </c>
      <c r="CX67" s="4" t="s">
        <v>340</v>
      </c>
      <c r="CY67" s="4" t="n">
        <v>88</v>
      </c>
      <c r="CZ67" s="4" t="n">
        <v>30</v>
      </c>
      <c r="DB67" s="4" t="s">
        <v>363</v>
      </c>
      <c r="DC67" s="4" t="s">
        <v>399</v>
      </c>
      <c r="DD67" s="4" t="s">
        <v>365</v>
      </c>
      <c r="DF67" s="4" t="n">
        <v>0.101</v>
      </c>
      <c r="DG67" s="4" t="n">
        <v>0.827000000000001</v>
      </c>
      <c r="DH67" s="4" t="n">
        <v>78.631</v>
      </c>
      <c r="DI67" s="4" t="n">
        <v>11.052</v>
      </c>
      <c r="DJ67" s="4" t="n">
        <v>4.952</v>
      </c>
      <c r="DK67" s="4" t="n">
        <v>0.774000000000001</v>
      </c>
      <c r="DL67" s="4" t="n">
        <v>1.717</v>
      </c>
      <c r="DM67" s="4" t="n">
        <v>0.462</v>
      </c>
      <c r="DN67" s="4" t="n">
        <v>0.514</v>
      </c>
      <c r="DO67" s="4" t="n">
        <v>0.969999999999999</v>
      </c>
      <c r="EQ67" s="4" t="s">
        <v>335</v>
      </c>
      <c r="FR67" s="4" t="s">
        <v>469</v>
      </c>
    </row>
    <row r="68" customFormat="false" ht="15.75" hidden="false" customHeight="true" outlineLevel="0" collapsed="false">
      <c r="A68" s="169" t="n">
        <v>45047.375</v>
      </c>
      <c r="B68" s="169" t="n">
        <v>45078.375</v>
      </c>
      <c r="C68" s="4" t="s">
        <v>144</v>
      </c>
      <c r="D68" s="4" t="s">
        <v>470</v>
      </c>
      <c r="E68" s="4" t="n">
        <v>0</v>
      </c>
      <c r="F68" s="4" t="n">
        <v>0</v>
      </c>
      <c r="G68" s="4" t="n">
        <v>0</v>
      </c>
      <c r="I68" s="4" t="n">
        <v>14.4005097804531</v>
      </c>
      <c r="J68" s="4" t="n">
        <v>81.8343262210969</v>
      </c>
      <c r="K68" s="4" t="n">
        <v>0</v>
      </c>
      <c r="L68" s="21" t="n">
        <v>7.92685418135626E-006</v>
      </c>
      <c r="N68" s="4" t="n">
        <v>1.00454364173787</v>
      </c>
      <c r="P68" s="4" t="s">
        <v>324</v>
      </c>
      <c r="Q68" s="4" t="s">
        <v>325</v>
      </c>
      <c r="T68" s="4" t="s">
        <v>326</v>
      </c>
      <c r="U68" s="4" t="s">
        <v>144</v>
      </c>
      <c r="V68" s="170" t="n">
        <v>44769</v>
      </c>
      <c r="W68" s="4" t="n">
        <v>1</v>
      </c>
      <c r="X68" s="4" t="n">
        <v>9</v>
      </c>
      <c r="AA68" s="4" t="n">
        <v>1.5</v>
      </c>
      <c r="AB68" s="4" t="n">
        <v>68</v>
      </c>
      <c r="AC68" s="4" t="s">
        <v>327</v>
      </c>
      <c r="AD68" s="4" t="n">
        <v>4.02600002288818</v>
      </c>
      <c r="AE68" s="4" t="n">
        <v>68</v>
      </c>
      <c r="AF68" s="4" t="s">
        <v>328</v>
      </c>
      <c r="AG68" s="4" t="s">
        <v>329</v>
      </c>
      <c r="AH68" s="4" t="s">
        <v>330</v>
      </c>
      <c r="AI68" s="4" t="s">
        <v>331</v>
      </c>
      <c r="AR68" s="4" t="s">
        <v>332</v>
      </c>
      <c r="AS68" s="4" t="s">
        <v>332</v>
      </c>
      <c r="AT68" s="4" t="s">
        <v>332</v>
      </c>
      <c r="AU68" s="4" t="s">
        <v>333</v>
      </c>
      <c r="AV68" s="4" t="n">
        <v>2047</v>
      </c>
      <c r="AW68" s="4" t="n">
        <v>0</v>
      </c>
      <c r="AX68" s="4" t="n">
        <v>250</v>
      </c>
      <c r="AY68" s="4" t="n">
        <v>0</v>
      </c>
      <c r="BB68" s="4" t="n">
        <v>2047.96875</v>
      </c>
      <c r="BC68" s="4" t="n">
        <v>0</v>
      </c>
      <c r="BD68" s="4" t="n">
        <v>263.200012207031</v>
      </c>
      <c r="BE68" s="4" t="n">
        <v>13.1999998092651</v>
      </c>
      <c r="BH68" s="4" t="n">
        <v>420</v>
      </c>
      <c r="BI68" s="4" t="n">
        <v>0</v>
      </c>
      <c r="BN68" s="4" t="n">
        <v>0.100000001490116</v>
      </c>
      <c r="BO68" s="4" t="n">
        <v>-3</v>
      </c>
      <c r="BP68" s="4" t="n">
        <v>14.6499996185303</v>
      </c>
      <c r="BQ68" s="4" t="n">
        <v>60</v>
      </c>
      <c r="BR68" s="4" t="n">
        <v>13.1999998092651</v>
      </c>
      <c r="BV68" s="4" t="n">
        <v>1</v>
      </c>
      <c r="BW68" s="4" t="s">
        <v>334</v>
      </c>
      <c r="BX68" s="4" t="n">
        <v>60</v>
      </c>
      <c r="BY68" s="4" t="s">
        <v>332</v>
      </c>
      <c r="BZ68" s="4" t="s">
        <v>332</v>
      </c>
      <c r="CA68" s="4" t="s">
        <v>332</v>
      </c>
      <c r="CB68" s="4" t="s">
        <v>333</v>
      </c>
      <c r="CC68" s="4" t="s">
        <v>332</v>
      </c>
      <c r="CD68" s="4" t="s">
        <v>332</v>
      </c>
      <c r="CE68" s="4" t="s">
        <v>332</v>
      </c>
      <c r="CF68" s="4" t="s">
        <v>333</v>
      </c>
      <c r="CK68" s="169" t="n">
        <v>43531.5672222222</v>
      </c>
      <c r="CQ68" s="4" t="n">
        <v>1405</v>
      </c>
      <c r="CR68" s="4" t="n">
        <v>1.3</v>
      </c>
      <c r="CS68" s="21" t="n">
        <v>6.9E-006</v>
      </c>
      <c r="CT68" s="4" t="n">
        <v>0.834</v>
      </c>
      <c r="CU68" s="4" t="s">
        <v>334</v>
      </c>
      <c r="CV68" s="169" t="n">
        <v>45067</v>
      </c>
      <c r="CW68" s="4" t="s">
        <v>328</v>
      </c>
      <c r="CX68" s="4" t="s">
        <v>340</v>
      </c>
      <c r="CY68" s="4" t="n">
        <v>79</v>
      </c>
      <c r="CZ68" s="4" t="n">
        <v>150</v>
      </c>
      <c r="DB68" s="4" t="s">
        <v>386</v>
      </c>
      <c r="DC68" s="4" t="s">
        <v>445</v>
      </c>
      <c r="DD68" s="4" t="s">
        <v>355</v>
      </c>
      <c r="DF68" s="4" t="n">
        <v>0.452</v>
      </c>
      <c r="DG68" s="4" t="n">
        <v>1.557</v>
      </c>
      <c r="DH68" s="4" t="n">
        <v>68.605</v>
      </c>
      <c r="DI68" s="4" t="n">
        <v>13.605</v>
      </c>
      <c r="DJ68" s="4" t="n">
        <v>9.303</v>
      </c>
      <c r="DK68" s="4" t="n">
        <v>1.09</v>
      </c>
      <c r="DL68" s="4" t="n">
        <v>3.269</v>
      </c>
      <c r="DM68" s="4" t="n">
        <v>0.677</v>
      </c>
      <c r="DN68" s="4" t="n">
        <v>0.726</v>
      </c>
      <c r="DO68" s="4" t="n">
        <v>0.716</v>
      </c>
      <c r="EQ68" s="4" t="s">
        <v>335</v>
      </c>
      <c r="FR68" s="4" t="s">
        <v>417</v>
      </c>
    </row>
    <row r="69" customFormat="false" ht="15.75" hidden="false" customHeight="true" outlineLevel="0" collapsed="false">
      <c r="A69" s="169" t="n">
        <v>45047.375</v>
      </c>
      <c r="B69" s="169" t="n">
        <v>45078.375</v>
      </c>
      <c r="C69" s="4" t="s">
        <v>147</v>
      </c>
      <c r="D69" s="4" t="s">
        <v>471</v>
      </c>
      <c r="E69" s="4" t="n">
        <v>0</v>
      </c>
      <c r="F69" s="4" t="n">
        <v>0</v>
      </c>
      <c r="G69" s="4" t="n">
        <v>0</v>
      </c>
      <c r="I69" s="4" t="n">
        <v>61.3921958246539</v>
      </c>
      <c r="J69" s="4" t="n">
        <v>82.8297098426409</v>
      </c>
      <c r="K69" s="4" t="n">
        <v>0</v>
      </c>
      <c r="L69" s="21" t="n">
        <v>1.81269311841817E-006</v>
      </c>
      <c r="N69" s="4" t="n">
        <v>1.00325661833372</v>
      </c>
      <c r="P69" s="4" t="s">
        <v>324</v>
      </c>
      <c r="Q69" s="4" t="s">
        <v>325</v>
      </c>
      <c r="T69" s="4" t="s">
        <v>326</v>
      </c>
      <c r="U69" s="4" t="s">
        <v>147</v>
      </c>
      <c r="V69" s="170" t="n">
        <v>44769</v>
      </c>
      <c r="W69" s="4" t="n">
        <v>1</v>
      </c>
      <c r="X69" s="4" t="n">
        <v>9</v>
      </c>
      <c r="AA69" s="4" t="n">
        <v>2.25</v>
      </c>
      <c r="AB69" s="4" t="n">
        <v>68</v>
      </c>
      <c r="AC69" s="4" t="s">
        <v>327</v>
      </c>
      <c r="AD69" s="4" t="n">
        <v>4.02600002288818</v>
      </c>
      <c r="AE69" s="4" t="n">
        <v>68</v>
      </c>
      <c r="AF69" s="4" t="s">
        <v>328</v>
      </c>
      <c r="AG69" s="4" t="s">
        <v>329</v>
      </c>
      <c r="AH69" s="4" t="s">
        <v>330</v>
      </c>
      <c r="AI69" s="4" t="s">
        <v>331</v>
      </c>
      <c r="AR69" s="4" t="s">
        <v>332</v>
      </c>
      <c r="AS69" s="4" t="s">
        <v>332</v>
      </c>
      <c r="AT69" s="4" t="s">
        <v>332</v>
      </c>
      <c r="AU69" s="4" t="s">
        <v>333</v>
      </c>
      <c r="AV69" s="4" t="n">
        <v>2047</v>
      </c>
      <c r="AW69" s="4" t="n">
        <v>0</v>
      </c>
      <c r="AX69" s="4" t="n">
        <v>250</v>
      </c>
      <c r="AY69" s="4" t="n">
        <v>0</v>
      </c>
      <c r="BB69" s="4" t="n">
        <v>2047.96875</v>
      </c>
      <c r="BC69" s="4" t="n">
        <v>0</v>
      </c>
      <c r="BD69" s="4" t="n">
        <v>100</v>
      </c>
      <c r="BE69" s="4" t="n">
        <v>0</v>
      </c>
      <c r="BH69" s="4" t="n">
        <v>420</v>
      </c>
      <c r="BI69" s="4" t="n">
        <v>0</v>
      </c>
      <c r="BN69" s="4" t="n">
        <v>0.5</v>
      </c>
      <c r="BO69" s="4" t="n">
        <v>-3</v>
      </c>
      <c r="BP69" s="4" t="n">
        <v>14.6499996185303</v>
      </c>
      <c r="BQ69" s="4" t="n">
        <v>60</v>
      </c>
      <c r="BR69" s="4" t="n">
        <v>13.1999998092651</v>
      </c>
      <c r="BV69" s="4" t="n">
        <v>1</v>
      </c>
      <c r="BW69" s="4" t="s">
        <v>334</v>
      </c>
      <c r="BX69" s="4" t="n">
        <v>60</v>
      </c>
      <c r="BY69" s="4" t="s">
        <v>332</v>
      </c>
      <c r="BZ69" s="4" t="s">
        <v>332</v>
      </c>
      <c r="CA69" s="4" t="s">
        <v>332</v>
      </c>
      <c r="CB69" s="4" t="s">
        <v>333</v>
      </c>
      <c r="CC69" s="4" t="s">
        <v>332</v>
      </c>
      <c r="CD69" s="4" t="s">
        <v>332</v>
      </c>
      <c r="CE69" s="4" t="s">
        <v>332</v>
      </c>
      <c r="CF69" s="4" t="s">
        <v>333</v>
      </c>
      <c r="CK69" s="169" t="n">
        <v>43531.5672222222</v>
      </c>
      <c r="CQ69" s="4" t="n">
        <v>1512</v>
      </c>
      <c r="CR69" s="4" t="n">
        <v>1.3</v>
      </c>
      <c r="CS69" s="21" t="n">
        <v>6.9E-006</v>
      </c>
      <c r="CT69" s="4" t="n">
        <v>0.898600000000001</v>
      </c>
      <c r="CU69" s="4" t="s">
        <v>334</v>
      </c>
      <c r="CV69" s="169" t="n">
        <v>45066</v>
      </c>
      <c r="CW69" s="4" t="s">
        <v>328</v>
      </c>
      <c r="CX69" s="4" t="s">
        <v>340</v>
      </c>
      <c r="CY69" s="4" t="n">
        <v>66</v>
      </c>
      <c r="CZ69" s="4" t="n">
        <v>50</v>
      </c>
      <c r="DB69" s="4" t="s">
        <v>386</v>
      </c>
      <c r="DC69" s="4" t="s">
        <v>443</v>
      </c>
      <c r="DD69" s="4" t="s">
        <v>355</v>
      </c>
      <c r="DF69" s="4" t="n">
        <v>0.386</v>
      </c>
      <c r="DG69" s="4" t="n">
        <v>1.243</v>
      </c>
      <c r="DH69" s="4" t="n">
        <v>66.9960000000001</v>
      </c>
      <c r="DI69" s="4" t="n">
        <v>12.796</v>
      </c>
      <c r="DJ69" s="4" t="n">
        <v>9.02100000000001</v>
      </c>
      <c r="DK69" s="4" t="n">
        <v>1.124</v>
      </c>
      <c r="DL69" s="4" t="n">
        <v>3.668</v>
      </c>
      <c r="DM69" s="4" t="n">
        <v>0.902</v>
      </c>
      <c r="DN69" s="4" t="n">
        <v>1.16</v>
      </c>
      <c r="DO69" s="4" t="n">
        <v>2.704</v>
      </c>
      <c r="EQ69" s="4" t="s">
        <v>335</v>
      </c>
      <c r="FR69" s="4" t="s">
        <v>417</v>
      </c>
    </row>
    <row r="70" customFormat="false" ht="15.75" hidden="false" customHeight="true" outlineLevel="0" collapsed="false">
      <c r="A70" s="169" t="n">
        <v>45047.375</v>
      </c>
      <c r="B70" s="169" t="n">
        <v>45078.375</v>
      </c>
      <c r="C70" s="4" t="s">
        <v>158</v>
      </c>
      <c r="D70" s="4" t="s">
        <v>472</v>
      </c>
      <c r="E70" s="4" t="n">
        <v>0</v>
      </c>
      <c r="F70" s="4" t="n">
        <v>0</v>
      </c>
      <c r="G70" s="4" t="n">
        <v>0</v>
      </c>
      <c r="I70" s="4" t="n">
        <v>60.5694615866548</v>
      </c>
      <c r="J70" s="4" t="n">
        <v>81.4774936091515</v>
      </c>
      <c r="K70" s="4" t="n">
        <v>0</v>
      </c>
      <c r="L70" s="4" t="n">
        <v>0.00353573150371836</v>
      </c>
      <c r="N70" s="4" t="n">
        <v>1.0058891670783</v>
      </c>
      <c r="P70" s="4" t="s">
        <v>324</v>
      </c>
      <c r="Q70" s="4" t="s">
        <v>325</v>
      </c>
      <c r="T70" s="4" t="s">
        <v>326</v>
      </c>
      <c r="U70" s="4" t="s">
        <v>158</v>
      </c>
      <c r="V70" s="170" t="n">
        <v>44769</v>
      </c>
      <c r="W70" s="4" t="n">
        <v>1</v>
      </c>
      <c r="X70" s="4" t="n">
        <v>9</v>
      </c>
      <c r="AA70" s="4" t="n">
        <v>2</v>
      </c>
      <c r="AB70" s="4" t="n">
        <v>68</v>
      </c>
      <c r="AC70" s="4" t="s">
        <v>327</v>
      </c>
      <c r="AD70" s="4" t="n">
        <v>4.02600002288818</v>
      </c>
      <c r="AE70" s="4" t="n">
        <v>68</v>
      </c>
      <c r="AF70" s="4" t="s">
        <v>328</v>
      </c>
      <c r="AG70" s="4" t="s">
        <v>329</v>
      </c>
      <c r="AH70" s="4" t="s">
        <v>330</v>
      </c>
      <c r="AI70" s="4" t="s">
        <v>331</v>
      </c>
      <c r="AR70" s="4" t="s">
        <v>332</v>
      </c>
      <c r="AS70" s="4" t="s">
        <v>332</v>
      </c>
      <c r="AT70" s="4" t="s">
        <v>332</v>
      </c>
      <c r="AU70" s="4" t="s">
        <v>333</v>
      </c>
      <c r="AV70" s="4" t="n">
        <v>2047</v>
      </c>
      <c r="AW70" s="4" t="n">
        <v>0</v>
      </c>
      <c r="AX70" s="4" t="n">
        <v>100</v>
      </c>
      <c r="AY70" s="4" t="n">
        <v>0</v>
      </c>
      <c r="BB70" s="4" t="n">
        <v>2047.96875</v>
      </c>
      <c r="BC70" s="4" t="n">
        <v>0</v>
      </c>
      <c r="BD70" s="4" t="n">
        <v>263.200012207031</v>
      </c>
      <c r="BE70" s="4" t="n">
        <v>13.1999998092651</v>
      </c>
      <c r="BH70" s="4" t="n">
        <v>420</v>
      </c>
      <c r="BI70" s="4" t="n">
        <v>0</v>
      </c>
      <c r="BN70" s="4" t="n">
        <v>0.5</v>
      </c>
      <c r="BO70" s="4" t="n">
        <v>-3</v>
      </c>
      <c r="BP70" s="4" t="n">
        <v>14.6499996185303</v>
      </c>
      <c r="BQ70" s="4" t="n">
        <v>60</v>
      </c>
      <c r="BR70" s="4" t="n">
        <v>13.1999998092651</v>
      </c>
      <c r="BV70" s="4" t="n">
        <v>1</v>
      </c>
      <c r="BW70" s="4" t="s">
        <v>334</v>
      </c>
      <c r="BX70" s="4" t="n">
        <v>60</v>
      </c>
      <c r="BY70" s="4" t="s">
        <v>332</v>
      </c>
      <c r="BZ70" s="4" t="s">
        <v>332</v>
      </c>
      <c r="CA70" s="4" t="s">
        <v>332</v>
      </c>
      <c r="CB70" s="4" t="s">
        <v>333</v>
      </c>
      <c r="CC70" s="4" t="s">
        <v>332</v>
      </c>
      <c r="CD70" s="4" t="s">
        <v>332</v>
      </c>
      <c r="CE70" s="4" t="s">
        <v>332</v>
      </c>
      <c r="CF70" s="4" t="s">
        <v>333</v>
      </c>
      <c r="CK70" s="169" t="n">
        <v>44922.6027314815</v>
      </c>
      <c r="CL70" s="169" t="n">
        <v>44922.6027314815</v>
      </c>
      <c r="CQ70" s="4" t="n">
        <v>1385</v>
      </c>
      <c r="CR70" s="4" t="n">
        <v>1.3</v>
      </c>
      <c r="CS70" s="21" t="n">
        <v>6.9E-006</v>
      </c>
      <c r="CT70" s="4" t="n">
        <v>0.820799999999999</v>
      </c>
      <c r="CU70" s="4" t="s">
        <v>334</v>
      </c>
      <c r="CV70" s="169" t="n">
        <v>45066</v>
      </c>
      <c r="CW70" s="4" t="s">
        <v>328</v>
      </c>
      <c r="CX70" s="4" t="s">
        <v>350</v>
      </c>
      <c r="CY70" s="4" t="n">
        <v>66</v>
      </c>
      <c r="CZ70" s="4" t="n">
        <v>50</v>
      </c>
      <c r="DB70" s="4" t="s">
        <v>386</v>
      </c>
      <c r="DC70" s="4" t="s">
        <v>447</v>
      </c>
      <c r="DD70" s="4" t="s">
        <v>355</v>
      </c>
      <c r="DF70" s="4" t="n">
        <v>0.67</v>
      </c>
      <c r="DG70" s="4" t="n">
        <v>1.207</v>
      </c>
      <c r="DH70" s="4" t="n">
        <v>69.703</v>
      </c>
      <c r="DI70" s="4" t="n">
        <v>13.688</v>
      </c>
      <c r="DJ70" s="4" t="n">
        <v>8.957</v>
      </c>
      <c r="DK70" s="4" t="n">
        <v>0.956</v>
      </c>
      <c r="DL70" s="4" t="n">
        <v>2.885</v>
      </c>
      <c r="DM70" s="4" t="n">
        <v>0.548</v>
      </c>
      <c r="DN70" s="4" t="n">
        <v>0.611000000000001</v>
      </c>
      <c r="DO70" s="4" t="n">
        <v>0.775</v>
      </c>
      <c r="EQ70" s="4" t="s">
        <v>335</v>
      </c>
      <c r="FR70" s="4" t="s">
        <v>417</v>
      </c>
    </row>
    <row r="71" customFormat="false" ht="15.75" hidden="false" customHeight="true" outlineLevel="0" collapsed="false">
      <c r="A71" s="169" t="n">
        <v>45047.375</v>
      </c>
      <c r="B71" s="169" t="n">
        <v>45078.375</v>
      </c>
      <c r="C71" s="4" t="s">
        <v>153</v>
      </c>
      <c r="D71" s="4" t="s">
        <v>473</v>
      </c>
      <c r="E71" s="4" t="n">
        <v>0</v>
      </c>
      <c r="F71" s="4" t="n">
        <v>0</v>
      </c>
      <c r="G71" s="4" t="n">
        <v>0</v>
      </c>
      <c r="I71" s="4" t="n">
        <v>11.6057567596436</v>
      </c>
      <c r="J71" s="4" t="n">
        <v>59.098503112793</v>
      </c>
      <c r="K71" s="4" t="n">
        <v>0</v>
      </c>
      <c r="L71" s="4" t="n">
        <v>0</v>
      </c>
      <c r="P71" s="4" t="s">
        <v>324</v>
      </c>
      <c r="Q71" s="4" t="s">
        <v>325</v>
      </c>
      <c r="T71" s="4" t="s">
        <v>326</v>
      </c>
      <c r="U71" s="4" t="s">
        <v>153</v>
      </c>
      <c r="V71" s="170" t="n">
        <v>44846</v>
      </c>
      <c r="W71" s="4" t="n">
        <v>1</v>
      </c>
      <c r="X71" s="4" t="n">
        <v>9</v>
      </c>
      <c r="AA71" s="4" t="n">
        <v>1.125</v>
      </c>
      <c r="AB71" s="4" t="n">
        <v>68</v>
      </c>
      <c r="AC71" s="4" t="s">
        <v>327</v>
      </c>
      <c r="AD71" s="4" t="n">
        <v>6.06500005722046</v>
      </c>
      <c r="AE71" s="4" t="n">
        <v>68</v>
      </c>
      <c r="AF71" s="4" t="s">
        <v>328</v>
      </c>
      <c r="AG71" s="4" t="s">
        <v>329</v>
      </c>
      <c r="AH71" s="4" t="s">
        <v>330</v>
      </c>
      <c r="AI71" s="4" t="s">
        <v>331</v>
      </c>
      <c r="AR71" s="4" t="s">
        <v>332</v>
      </c>
      <c r="AS71" s="4" t="s">
        <v>332</v>
      </c>
      <c r="AT71" s="4" t="s">
        <v>332</v>
      </c>
      <c r="AU71" s="4" t="s">
        <v>333</v>
      </c>
      <c r="AV71" s="4" t="n">
        <v>2047</v>
      </c>
      <c r="AW71" s="4" t="n">
        <v>0</v>
      </c>
      <c r="AX71" s="4" t="n">
        <v>250</v>
      </c>
      <c r="AY71" s="4" t="n">
        <v>0</v>
      </c>
      <c r="BB71" s="4" t="n">
        <v>2047.96875</v>
      </c>
      <c r="BC71" s="4" t="n">
        <v>0</v>
      </c>
      <c r="BD71" s="4" t="n">
        <v>100</v>
      </c>
      <c r="BE71" s="4" t="n">
        <v>0</v>
      </c>
      <c r="BH71" s="4" t="n">
        <v>420</v>
      </c>
      <c r="BI71" s="4" t="n">
        <v>0</v>
      </c>
      <c r="BN71" s="4" t="n">
        <v>0.5</v>
      </c>
      <c r="BO71" s="4" t="n">
        <v>-3</v>
      </c>
      <c r="BP71" s="4" t="n">
        <v>14.6499996185303</v>
      </c>
      <c r="BQ71" s="4" t="n">
        <v>60</v>
      </c>
      <c r="BR71" s="4" t="n">
        <v>13.1999998092651</v>
      </c>
      <c r="BV71" s="4" t="n">
        <v>1</v>
      </c>
      <c r="BW71" s="4" t="s">
        <v>334</v>
      </c>
      <c r="BX71" s="4" t="n">
        <v>60</v>
      </c>
      <c r="BY71" s="4" t="s">
        <v>332</v>
      </c>
      <c r="BZ71" s="4" t="s">
        <v>332</v>
      </c>
      <c r="CA71" s="4" t="s">
        <v>332</v>
      </c>
      <c r="CB71" s="4" t="s">
        <v>333</v>
      </c>
      <c r="CC71" s="4" t="s">
        <v>332</v>
      </c>
      <c r="CD71" s="4" t="s">
        <v>332</v>
      </c>
      <c r="CE71" s="4" t="s">
        <v>332</v>
      </c>
      <c r="CF71" s="4" t="s">
        <v>333</v>
      </c>
      <c r="CK71" s="169" t="n">
        <v>44869.7614814815</v>
      </c>
      <c r="CL71" s="169" t="n">
        <v>44823.4064583333</v>
      </c>
      <c r="CQ71" s="4" t="n">
        <v>1469</v>
      </c>
      <c r="CR71" s="4" t="n">
        <v>1.3</v>
      </c>
      <c r="CS71" s="21" t="n">
        <v>6.9E-006</v>
      </c>
      <c r="CT71" s="4" t="n">
        <v>0.876799999999999</v>
      </c>
      <c r="CU71" s="4" t="s">
        <v>334</v>
      </c>
      <c r="CV71" s="169" t="n">
        <v>45066</v>
      </c>
      <c r="CW71" s="4" t="s">
        <v>328</v>
      </c>
      <c r="CX71" s="4" t="s">
        <v>350</v>
      </c>
      <c r="CY71" s="4" t="n">
        <v>63</v>
      </c>
      <c r="CZ71" s="4" t="n">
        <v>50</v>
      </c>
      <c r="DB71" s="4" t="s">
        <v>386</v>
      </c>
      <c r="DC71" s="4" t="s">
        <v>449</v>
      </c>
      <c r="DD71" s="4" t="s">
        <v>355</v>
      </c>
      <c r="DF71" s="4" t="n">
        <v>0.674</v>
      </c>
      <c r="DG71" s="4" t="n">
        <v>1.324</v>
      </c>
      <c r="DH71" s="4" t="n">
        <v>67.68</v>
      </c>
      <c r="DI71" s="4" t="n">
        <v>13.238</v>
      </c>
      <c r="DJ71" s="4" t="n">
        <v>8.748</v>
      </c>
      <c r="DK71" s="4" t="n">
        <v>1.033</v>
      </c>
      <c r="DL71" s="4" t="n">
        <v>3.276</v>
      </c>
      <c r="DM71" s="4" t="n">
        <v>0.778</v>
      </c>
      <c r="DN71" s="4" t="n">
        <v>0.912</v>
      </c>
      <c r="DO71" s="4" t="n">
        <v>2.337</v>
      </c>
      <c r="EQ71" s="4" t="s">
        <v>335</v>
      </c>
      <c r="FR71" s="4" t="s">
        <v>400</v>
      </c>
    </row>
    <row r="72" customFormat="false" ht="15.75" hidden="false" customHeight="true" outlineLevel="0" collapsed="false">
      <c r="A72" s="169" t="n">
        <v>45047.375</v>
      </c>
      <c r="B72" s="169" t="n">
        <v>45078.375</v>
      </c>
      <c r="C72" s="4" t="s">
        <v>108</v>
      </c>
      <c r="D72" s="4" t="s">
        <v>474</v>
      </c>
      <c r="E72" s="4" t="n">
        <v>243134.31</v>
      </c>
      <c r="F72" s="4" t="n">
        <v>312670.72</v>
      </c>
      <c r="G72" s="4" t="n">
        <v>56.7313611816258</v>
      </c>
      <c r="I72" s="4" t="n">
        <v>1075.57606030288</v>
      </c>
      <c r="J72" s="4" t="n">
        <v>110.824979790224</v>
      </c>
      <c r="K72" s="4" t="n">
        <v>44486.9333333333</v>
      </c>
      <c r="L72" s="4" t="n">
        <v>10.2781826430756</v>
      </c>
      <c r="N72" s="4" t="n">
        <v>1.11189317140347</v>
      </c>
      <c r="P72" s="4" t="s">
        <v>324</v>
      </c>
      <c r="Q72" s="4" t="s">
        <v>325</v>
      </c>
      <c r="T72" s="4" t="s">
        <v>326</v>
      </c>
      <c r="U72" s="4" t="s">
        <v>108</v>
      </c>
      <c r="V72" s="170" t="n">
        <v>44287</v>
      </c>
      <c r="W72" s="4" t="n">
        <v>1</v>
      </c>
      <c r="X72" s="4" t="n">
        <v>9</v>
      </c>
      <c r="AA72" s="4" t="n">
        <v>2.25</v>
      </c>
      <c r="AB72" s="4" t="n">
        <v>68</v>
      </c>
      <c r="AC72" s="4" t="s">
        <v>327</v>
      </c>
      <c r="AD72" s="4" t="n">
        <v>4.02699995040894</v>
      </c>
      <c r="AE72" s="4" t="n">
        <v>68</v>
      </c>
      <c r="AF72" s="4" t="s">
        <v>328</v>
      </c>
      <c r="AG72" s="4" t="s">
        <v>329</v>
      </c>
      <c r="AH72" s="4" t="s">
        <v>330</v>
      </c>
      <c r="AI72" s="4" t="s">
        <v>331</v>
      </c>
      <c r="AR72" s="4" t="s">
        <v>332</v>
      </c>
      <c r="AS72" s="4" t="s">
        <v>332</v>
      </c>
      <c r="AT72" s="4" t="s">
        <v>332</v>
      </c>
      <c r="AU72" s="4" t="s">
        <v>333</v>
      </c>
      <c r="AV72" s="4" t="n">
        <v>2047</v>
      </c>
      <c r="AW72" s="4" t="n">
        <v>0</v>
      </c>
      <c r="AX72" s="4" t="n">
        <v>250</v>
      </c>
      <c r="AY72" s="4" t="n">
        <v>0</v>
      </c>
      <c r="BB72" s="4" t="n">
        <v>2047.96875</v>
      </c>
      <c r="BC72" s="4" t="n">
        <v>0</v>
      </c>
      <c r="BD72" s="4" t="n">
        <v>1514.51489257812</v>
      </c>
      <c r="BE72" s="4" t="n">
        <v>14.5230379104614</v>
      </c>
      <c r="BH72" s="4" t="n">
        <v>420</v>
      </c>
      <c r="BI72" s="4" t="n">
        <v>0</v>
      </c>
      <c r="BN72" s="4" t="n">
        <v>0.5</v>
      </c>
      <c r="BO72" s="4" t="n">
        <v>-3</v>
      </c>
      <c r="BP72" s="4" t="n">
        <v>14.6499996185303</v>
      </c>
      <c r="BQ72" s="4" t="n">
        <v>60</v>
      </c>
      <c r="BR72" s="4" t="n">
        <v>13.1999998092651</v>
      </c>
      <c r="BV72" s="4" t="n">
        <v>1</v>
      </c>
      <c r="BW72" s="4" t="s">
        <v>334</v>
      </c>
      <c r="BX72" s="4" t="n">
        <v>60</v>
      </c>
      <c r="BY72" s="4" t="s">
        <v>332</v>
      </c>
      <c r="BZ72" s="4" t="s">
        <v>332</v>
      </c>
      <c r="CA72" s="4" t="s">
        <v>332</v>
      </c>
      <c r="CB72" s="4" t="s">
        <v>333</v>
      </c>
      <c r="CC72" s="4" t="s">
        <v>332</v>
      </c>
      <c r="CD72" s="4" t="s">
        <v>332</v>
      </c>
      <c r="CE72" s="4" t="s">
        <v>332</v>
      </c>
      <c r="CF72" s="4" t="s">
        <v>333</v>
      </c>
      <c r="CK72" s="169" t="n">
        <v>43531.5672222222</v>
      </c>
      <c r="CQ72" s="4" t="n">
        <v>1286</v>
      </c>
      <c r="CR72" s="4" t="n">
        <v>1.3</v>
      </c>
      <c r="CS72" s="21" t="n">
        <v>6.9E-006</v>
      </c>
      <c r="CT72" s="4" t="n">
        <v>0.7445</v>
      </c>
      <c r="CU72" s="4" t="s">
        <v>334</v>
      </c>
      <c r="CV72" s="169" t="n">
        <v>45074</v>
      </c>
      <c r="CW72" s="4" t="s">
        <v>327</v>
      </c>
      <c r="CX72" s="4" t="s">
        <v>340</v>
      </c>
      <c r="CY72" s="4" t="n">
        <v>128</v>
      </c>
      <c r="CZ72" s="4" t="n">
        <v>1067</v>
      </c>
      <c r="DB72" s="4" t="s">
        <v>386</v>
      </c>
      <c r="DC72" s="4" t="s">
        <v>475</v>
      </c>
      <c r="DD72" s="4" t="s">
        <v>360</v>
      </c>
      <c r="DF72" s="4" t="n">
        <v>0.135</v>
      </c>
      <c r="DG72" s="4" t="n">
        <v>0.866</v>
      </c>
      <c r="DH72" s="4" t="n">
        <v>78.175</v>
      </c>
      <c r="DI72" s="4" t="n">
        <v>11.344</v>
      </c>
      <c r="DJ72" s="4" t="n">
        <v>5.072</v>
      </c>
      <c r="DK72" s="4" t="n">
        <v>0.771</v>
      </c>
      <c r="DL72" s="4" t="n">
        <v>1.767</v>
      </c>
      <c r="DM72" s="4" t="n">
        <v>0.506</v>
      </c>
      <c r="DN72" s="4" t="n">
        <v>0.536</v>
      </c>
      <c r="DO72" s="4" t="n">
        <v>0.828</v>
      </c>
      <c r="EQ72" s="4" t="s">
        <v>335</v>
      </c>
      <c r="FR72" s="4" t="s">
        <v>476</v>
      </c>
    </row>
    <row r="73" customFormat="false" ht="15.75" hidden="false" customHeight="true" outlineLevel="0" collapsed="false">
      <c r="A73" s="169" t="n">
        <v>45047.375</v>
      </c>
      <c r="B73" s="169" t="n">
        <v>45078.375</v>
      </c>
      <c r="C73" s="4" t="s">
        <v>160</v>
      </c>
      <c r="D73" s="4" t="s">
        <v>477</v>
      </c>
      <c r="E73" s="4" t="n">
        <v>0</v>
      </c>
      <c r="F73" s="4" t="n">
        <v>0</v>
      </c>
      <c r="G73" s="4" t="n">
        <v>0</v>
      </c>
      <c r="I73" s="4" t="n">
        <v>20.1335247870414</v>
      </c>
      <c r="J73" s="4" t="n">
        <v>76.4532368054954</v>
      </c>
      <c r="K73" s="4" t="n">
        <v>0</v>
      </c>
      <c r="L73" s="4" t="n">
        <v>0.00230392538072411</v>
      </c>
      <c r="N73" s="4" t="n">
        <v>1.0048854418514</v>
      </c>
      <c r="P73" s="4" t="s">
        <v>324</v>
      </c>
      <c r="Q73" s="4" t="s">
        <v>325</v>
      </c>
      <c r="T73" s="4" t="s">
        <v>326</v>
      </c>
      <c r="U73" s="4" t="s">
        <v>160</v>
      </c>
      <c r="V73" s="170" t="n">
        <v>44950</v>
      </c>
      <c r="W73" s="4" t="n">
        <v>1</v>
      </c>
      <c r="X73" s="4" t="n">
        <v>9</v>
      </c>
      <c r="AA73" s="4" t="n">
        <v>1.875</v>
      </c>
      <c r="AB73" s="4" t="n">
        <v>68</v>
      </c>
      <c r="AC73" s="4" t="s">
        <v>327</v>
      </c>
      <c r="AD73" s="4" t="n">
        <v>4.02600002288818</v>
      </c>
      <c r="AE73" s="4" t="n">
        <v>68</v>
      </c>
      <c r="AF73" s="4" t="s">
        <v>328</v>
      </c>
      <c r="AG73" s="4" t="s">
        <v>329</v>
      </c>
      <c r="AH73" s="4" t="s">
        <v>330</v>
      </c>
      <c r="AI73" s="4" t="s">
        <v>331</v>
      </c>
      <c r="AR73" s="4" t="s">
        <v>332</v>
      </c>
      <c r="AS73" s="4" t="s">
        <v>332</v>
      </c>
      <c r="AT73" s="4" t="s">
        <v>332</v>
      </c>
      <c r="AU73" s="4" t="s">
        <v>333</v>
      </c>
      <c r="AV73" s="4" t="n">
        <v>2047</v>
      </c>
      <c r="AW73" s="4" t="n">
        <v>0</v>
      </c>
      <c r="AX73" s="4" t="n">
        <v>400</v>
      </c>
      <c r="AY73" s="4" t="n">
        <v>0</v>
      </c>
      <c r="BB73" s="4" t="n">
        <v>2047.96875</v>
      </c>
      <c r="BC73" s="4" t="n">
        <v>0</v>
      </c>
      <c r="BD73" s="4" t="n">
        <v>100</v>
      </c>
      <c r="BE73" s="4" t="n">
        <v>0</v>
      </c>
      <c r="BH73" s="4" t="n">
        <v>420</v>
      </c>
      <c r="BI73" s="4" t="n">
        <v>0</v>
      </c>
      <c r="BN73" s="4" t="n">
        <v>0.5</v>
      </c>
      <c r="BO73" s="4" t="n">
        <v>-3</v>
      </c>
      <c r="BP73" s="4" t="n">
        <v>14.6499996185303</v>
      </c>
      <c r="BQ73" s="4" t="n">
        <v>60</v>
      </c>
      <c r="BR73" s="4" t="n">
        <v>13.1999998092651</v>
      </c>
      <c r="BV73" s="4" t="n">
        <v>1</v>
      </c>
      <c r="BW73" s="4" t="s">
        <v>334</v>
      </c>
      <c r="BX73" s="4" t="n">
        <v>60</v>
      </c>
      <c r="BY73" s="4" t="s">
        <v>332</v>
      </c>
      <c r="BZ73" s="4" t="s">
        <v>332</v>
      </c>
      <c r="CA73" s="4" t="s">
        <v>332</v>
      </c>
      <c r="CB73" s="4" t="s">
        <v>333</v>
      </c>
      <c r="CC73" s="4" t="s">
        <v>332</v>
      </c>
      <c r="CD73" s="4" t="s">
        <v>332</v>
      </c>
      <c r="CE73" s="4" t="s">
        <v>332</v>
      </c>
      <c r="CF73" s="4" t="s">
        <v>333</v>
      </c>
      <c r="CK73" s="169" t="n">
        <v>45039.5382523148</v>
      </c>
      <c r="CL73" s="169" t="n">
        <v>45039.5382523148</v>
      </c>
      <c r="CQ73" s="4" t="n">
        <v>1387</v>
      </c>
      <c r="CR73" s="4" t="n">
        <v>1.3</v>
      </c>
      <c r="CS73" s="21" t="n">
        <v>6.9E-006</v>
      </c>
      <c r="CT73" s="4" t="n">
        <v>0.809</v>
      </c>
      <c r="CU73" s="4" t="s">
        <v>334</v>
      </c>
      <c r="CV73" s="169" t="n">
        <v>45069</v>
      </c>
      <c r="CW73" s="4" t="s">
        <v>328</v>
      </c>
      <c r="CX73" s="4" t="s">
        <v>393</v>
      </c>
      <c r="CY73" s="4" t="n">
        <v>122</v>
      </c>
      <c r="CZ73" s="4" t="n">
        <v>30</v>
      </c>
      <c r="DB73" s="4" t="s">
        <v>363</v>
      </c>
      <c r="DC73" s="4" t="s">
        <v>458</v>
      </c>
      <c r="DD73" s="4" t="s">
        <v>360</v>
      </c>
      <c r="DF73" s="4" t="n">
        <v>0.0920000000000001</v>
      </c>
      <c r="DG73" s="4" t="n">
        <v>0.82</v>
      </c>
      <c r="DH73" s="4" t="n">
        <v>73.125</v>
      </c>
      <c r="DI73" s="4" t="n">
        <v>12.76</v>
      </c>
      <c r="DJ73" s="4" t="n">
        <v>6.744</v>
      </c>
      <c r="DK73" s="4" t="n">
        <v>0.988</v>
      </c>
      <c r="DL73" s="4" t="n">
        <v>2.458</v>
      </c>
      <c r="DM73" s="4" t="n">
        <v>0.618</v>
      </c>
      <c r="DN73" s="4" t="n">
        <v>0.765999999999999</v>
      </c>
      <c r="DO73" s="4" t="n">
        <v>1.629</v>
      </c>
      <c r="EQ73" s="4" t="s">
        <v>335</v>
      </c>
      <c r="FR73" s="4" t="s">
        <v>459</v>
      </c>
    </row>
    <row r="74" customFormat="false" ht="15.75" hidden="false" customHeight="true" outlineLevel="0" collapsed="false">
      <c r="A74" s="169" t="n">
        <v>45047.375</v>
      </c>
      <c r="B74" s="169" t="n">
        <v>45078.375</v>
      </c>
      <c r="C74" s="4" t="s">
        <v>150</v>
      </c>
      <c r="D74" s="4" t="s">
        <v>478</v>
      </c>
      <c r="E74" s="4" t="n">
        <v>4616.41</v>
      </c>
      <c r="F74" s="4" t="n">
        <v>5756.66</v>
      </c>
      <c r="G74" s="4" t="n">
        <v>3.30109958465526</v>
      </c>
      <c r="I74" s="4" t="n">
        <v>107.403672019808</v>
      </c>
      <c r="J74" s="4" t="n">
        <v>79.5283526004848</v>
      </c>
      <c r="K74" s="4" t="n">
        <v>4921.65</v>
      </c>
      <c r="L74" s="4" t="n">
        <v>0.604904586927508</v>
      </c>
      <c r="N74" s="4" t="n">
        <v>1.00967445757629</v>
      </c>
      <c r="P74" s="4" t="s">
        <v>324</v>
      </c>
      <c r="Q74" s="4" t="s">
        <v>325</v>
      </c>
      <c r="T74" s="4" t="s">
        <v>326</v>
      </c>
      <c r="U74" s="4" t="s">
        <v>150</v>
      </c>
      <c r="V74" s="170" t="n">
        <v>44300</v>
      </c>
      <c r="W74" s="4" t="n">
        <v>1</v>
      </c>
      <c r="X74" s="4" t="n">
        <v>9</v>
      </c>
      <c r="AA74" s="4" t="n">
        <v>3.75</v>
      </c>
      <c r="AB74" s="4" t="n">
        <v>68</v>
      </c>
      <c r="AC74" s="4" t="s">
        <v>327</v>
      </c>
      <c r="AD74" s="4" t="n">
        <v>6.06500005722046</v>
      </c>
      <c r="AE74" s="4" t="n">
        <v>68</v>
      </c>
      <c r="AF74" s="4" t="s">
        <v>328</v>
      </c>
      <c r="AG74" s="4" t="s">
        <v>329</v>
      </c>
      <c r="AH74" s="4" t="s">
        <v>330</v>
      </c>
      <c r="AI74" s="4" t="s">
        <v>331</v>
      </c>
      <c r="AR74" s="4" t="s">
        <v>332</v>
      </c>
      <c r="AS74" s="4" t="s">
        <v>332</v>
      </c>
      <c r="AT74" s="4" t="s">
        <v>332</v>
      </c>
      <c r="AU74" s="4" t="s">
        <v>333</v>
      </c>
      <c r="AV74" s="4" t="n">
        <v>2047</v>
      </c>
      <c r="AW74" s="4" t="n">
        <v>0</v>
      </c>
      <c r="AX74" s="4" t="n">
        <v>400</v>
      </c>
      <c r="AY74" s="4" t="n">
        <v>0</v>
      </c>
      <c r="BB74" s="4" t="n">
        <v>2047.96875</v>
      </c>
      <c r="BC74" s="4" t="n">
        <v>0</v>
      </c>
      <c r="BD74" s="4" t="n">
        <v>1513.19995117187</v>
      </c>
      <c r="BE74" s="4" t="n">
        <v>13.1999998092651</v>
      </c>
      <c r="BH74" s="4" t="n">
        <v>420</v>
      </c>
      <c r="BI74" s="4" t="n">
        <v>0</v>
      </c>
      <c r="BN74" s="4" t="n">
        <v>0.5</v>
      </c>
      <c r="BO74" s="4" t="n">
        <v>-3</v>
      </c>
      <c r="BP74" s="4" t="n">
        <v>14.6499996185303</v>
      </c>
      <c r="BQ74" s="4" t="n">
        <v>60</v>
      </c>
      <c r="BR74" s="4" t="n">
        <v>13.1999998092651</v>
      </c>
      <c r="BV74" s="4" t="n">
        <v>1</v>
      </c>
      <c r="BW74" s="4" t="s">
        <v>334</v>
      </c>
      <c r="BX74" s="4" t="n">
        <v>60</v>
      </c>
      <c r="BY74" s="4" t="s">
        <v>332</v>
      </c>
      <c r="BZ74" s="4" t="s">
        <v>332</v>
      </c>
      <c r="CA74" s="4" t="s">
        <v>332</v>
      </c>
      <c r="CB74" s="4" t="s">
        <v>333</v>
      </c>
      <c r="CC74" s="4" t="s">
        <v>332</v>
      </c>
      <c r="CD74" s="4" t="s">
        <v>332</v>
      </c>
      <c r="CE74" s="4" t="s">
        <v>332</v>
      </c>
      <c r="CF74" s="4" t="s">
        <v>333</v>
      </c>
      <c r="CK74" s="169" t="n">
        <v>44938.5469097222</v>
      </c>
      <c r="CL74" s="169" t="n">
        <v>44938.5469097222</v>
      </c>
      <c r="CQ74" s="4" t="n">
        <v>1247</v>
      </c>
      <c r="CR74" s="4" t="n">
        <v>1.3</v>
      </c>
      <c r="CS74" s="21" t="n">
        <v>6.9E-006</v>
      </c>
      <c r="CT74" s="4" t="n">
        <v>0.7165</v>
      </c>
      <c r="CU74" s="4" t="s">
        <v>334</v>
      </c>
      <c r="CV74" s="169" t="n">
        <v>45056</v>
      </c>
      <c r="CW74" s="4" t="s">
        <v>327</v>
      </c>
      <c r="CX74" s="4" t="s">
        <v>350</v>
      </c>
      <c r="CY74" s="4" t="n">
        <v>76</v>
      </c>
      <c r="CZ74" s="4" t="n">
        <v>73</v>
      </c>
      <c r="DB74" s="4" t="s">
        <v>341</v>
      </c>
      <c r="DC74" s="4" t="s">
        <v>359</v>
      </c>
      <c r="DD74" s="4" t="s">
        <v>360</v>
      </c>
      <c r="DF74" s="4" t="n">
        <v>0.125</v>
      </c>
      <c r="DG74" s="4" t="n">
        <v>0.582</v>
      </c>
      <c r="DH74" s="4" t="n">
        <v>81.076</v>
      </c>
      <c r="DI74" s="4" t="n">
        <v>10.555</v>
      </c>
      <c r="DJ74" s="4" t="n">
        <v>4.037</v>
      </c>
      <c r="DK74" s="4" t="n">
        <v>0.705</v>
      </c>
      <c r="DL74" s="4" t="n">
        <v>1.318</v>
      </c>
      <c r="DM74" s="4" t="n">
        <v>0.372</v>
      </c>
      <c r="DN74" s="4" t="n">
        <v>0.396</v>
      </c>
      <c r="DO74" s="4" t="n">
        <v>0.834</v>
      </c>
      <c r="EQ74" s="4" t="s">
        <v>335</v>
      </c>
      <c r="FR74" s="4" t="s">
        <v>361</v>
      </c>
    </row>
    <row r="75" customFormat="false" ht="15.75" hidden="false" customHeight="true" outlineLevel="0" collapsed="false">
      <c r="A75" s="169" t="n">
        <v>45047.375</v>
      </c>
      <c r="B75" s="169" t="n">
        <v>45078.375</v>
      </c>
      <c r="C75" s="4" t="s">
        <v>115</v>
      </c>
      <c r="D75" s="4" t="s">
        <v>479</v>
      </c>
      <c r="E75" s="4" t="n">
        <v>76284.56</v>
      </c>
      <c r="F75" s="4" t="n">
        <v>98178.22</v>
      </c>
      <c r="G75" s="4" t="n">
        <v>279.046409507464</v>
      </c>
      <c r="I75" s="4" t="n">
        <v>1026.17314438234</v>
      </c>
      <c r="J75" s="4" t="n">
        <v>103.727107458477</v>
      </c>
      <c r="K75" s="4" t="n">
        <v>44422.6166666667</v>
      </c>
      <c r="L75" s="4" t="n">
        <v>22.3478050755333</v>
      </c>
      <c r="N75" s="4" t="n">
        <v>1.11413382728287</v>
      </c>
      <c r="P75" s="4" t="s">
        <v>324</v>
      </c>
      <c r="Q75" s="4" t="s">
        <v>325</v>
      </c>
      <c r="T75" s="4" t="s">
        <v>326</v>
      </c>
      <c r="U75" s="4" t="s">
        <v>115</v>
      </c>
      <c r="V75" s="170" t="n">
        <v>44300</v>
      </c>
      <c r="W75" s="4" t="n">
        <v>1</v>
      </c>
      <c r="X75" s="4" t="n">
        <v>9</v>
      </c>
      <c r="AA75" s="4" t="n">
        <v>0.875</v>
      </c>
      <c r="AB75" s="4" t="n">
        <v>68</v>
      </c>
      <c r="AC75" s="4" t="s">
        <v>327</v>
      </c>
      <c r="AD75" s="4" t="n">
        <v>2.06699991226196</v>
      </c>
      <c r="AE75" s="4" t="n">
        <v>68</v>
      </c>
      <c r="AF75" s="4" t="s">
        <v>328</v>
      </c>
      <c r="AG75" s="4" t="s">
        <v>329</v>
      </c>
      <c r="AH75" s="4" t="s">
        <v>330</v>
      </c>
      <c r="AI75" s="4" t="s">
        <v>331</v>
      </c>
      <c r="AR75" s="4" t="s">
        <v>332</v>
      </c>
      <c r="AS75" s="4" t="s">
        <v>332</v>
      </c>
      <c r="AT75" s="4" t="s">
        <v>332</v>
      </c>
      <c r="AU75" s="4" t="s">
        <v>333</v>
      </c>
      <c r="AV75" s="4" t="n">
        <v>2047</v>
      </c>
      <c r="AW75" s="4" t="n">
        <v>0</v>
      </c>
      <c r="AX75" s="4" t="n">
        <v>250</v>
      </c>
      <c r="AY75" s="4" t="n">
        <v>0</v>
      </c>
      <c r="BB75" s="4" t="n">
        <v>2047.96875</v>
      </c>
      <c r="BC75" s="4" t="n">
        <v>0</v>
      </c>
      <c r="BD75" s="4" t="n">
        <v>1213.19995117187</v>
      </c>
      <c r="BE75" s="4" t="n">
        <v>13.1999998092651</v>
      </c>
      <c r="BH75" s="4" t="n">
        <v>420</v>
      </c>
      <c r="BI75" s="4" t="n">
        <v>0</v>
      </c>
      <c r="BN75" s="4" t="n">
        <v>0.5</v>
      </c>
      <c r="BO75" s="4" t="n">
        <v>-3</v>
      </c>
      <c r="BP75" s="4" t="n">
        <v>14.6499996185303</v>
      </c>
      <c r="BQ75" s="4" t="n">
        <v>60</v>
      </c>
      <c r="BR75" s="4" t="n">
        <v>13.1999998092651</v>
      </c>
      <c r="BV75" s="4" t="n">
        <v>1</v>
      </c>
      <c r="BW75" s="4" t="s">
        <v>334</v>
      </c>
      <c r="BX75" s="4" t="n">
        <v>60</v>
      </c>
      <c r="BY75" s="4" t="s">
        <v>332</v>
      </c>
      <c r="BZ75" s="4" t="s">
        <v>332</v>
      </c>
      <c r="CA75" s="4" t="s">
        <v>332</v>
      </c>
      <c r="CB75" s="4" t="s">
        <v>333</v>
      </c>
      <c r="CC75" s="4" t="s">
        <v>332</v>
      </c>
      <c r="CD75" s="4" t="s">
        <v>332</v>
      </c>
      <c r="CE75" s="4" t="s">
        <v>332</v>
      </c>
      <c r="CF75" s="4" t="s">
        <v>333</v>
      </c>
      <c r="CK75" s="169" t="n">
        <v>43531.5672222222</v>
      </c>
      <c r="CQ75" s="4" t="n">
        <v>1287</v>
      </c>
      <c r="CR75" s="4" t="n">
        <v>1.3</v>
      </c>
      <c r="CS75" s="21" t="n">
        <v>6.9E-006</v>
      </c>
      <c r="CT75" s="4" t="n">
        <v>0.7456</v>
      </c>
      <c r="CU75" s="4" t="s">
        <v>334</v>
      </c>
      <c r="CV75" s="169" t="n">
        <v>45004</v>
      </c>
      <c r="CW75" s="4" t="s">
        <v>327</v>
      </c>
      <c r="CX75" s="4" t="s">
        <v>340</v>
      </c>
      <c r="CY75" s="4" t="n">
        <v>77</v>
      </c>
      <c r="CZ75" s="4" t="n">
        <v>996</v>
      </c>
      <c r="DB75" s="4" t="s">
        <v>341</v>
      </c>
      <c r="DC75" s="4" t="s">
        <v>480</v>
      </c>
      <c r="DD75" s="4" t="s">
        <v>380</v>
      </c>
      <c r="DF75" s="4" t="n">
        <v>0.112</v>
      </c>
      <c r="DG75" s="4" t="n">
        <v>0.9</v>
      </c>
      <c r="DH75" s="4" t="n">
        <v>77.819</v>
      </c>
      <c r="DI75" s="4" t="n">
        <v>11.063</v>
      </c>
      <c r="DJ75" s="4" t="n">
        <v>5.419</v>
      </c>
      <c r="DK75" s="4" t="n">
        <v>0.984</v>
      </c>
      <c r="DL75" s="4" t="n">
        <v>2.135</v>
      </c>
      <c r="DM75" s="4" t="n">
        <v>0.61</v>
      </c>
      <c r="DN75" s="4" t="n">
        <v>0.603</v>
      </c>
      <c r="DO75" s="4" t="n">
        <v>0.355</v>
      </c>
      <c r="EQ75" s="4" t="s">
        <v>335</v>
      </c>
      <c r="FR75" s="4" t="s">
        <v>476</v>
      </c>
    </row>
    <row r="76" customFormat="false" ht="15.75" hidden="false" customHeight="true" outlineLevel="0" collapsed="false">
      <c r="A76" s="169" t="n">
        <v>45047.375</v>
      </c>
      <c r="B76" s="169" t="n">
        <v>45078.375</v>
      </c>
      <c r="C76" s="4" t="s">
        <v>123</v>
      </c>
      <c r="D76" s="4" t="s">
        <v>481</v>
      </c>
      <c r="E76" s="4" t="n">
        <v>198846.02</v>
      </c>
      <c r="F76" s="4" t="n">
        <v>247563.3</v>
      </c>
      <c r="G76" s="4" t="n">
        <v>71.0248424257558</v>
      </c>
      <c r="I76" s="4" t="n">
        <v>1110.18818315356</v>
      </c>
      <c r="J76" s="4" t="n">
        <v>111.17010165077</v>
      </c>
      <c r="K76" s="4" t="n">
        <v>44629.8166666667</v>
      </c>
      <c r="L76" s="4" t="n">
        <v>11.6308532601619</v>
      </c>
      <c r="N76" s="4" t="n">
        <v>1.10385146924288</v>
      </c>
      <c r="P76" s="4" t="s">
        <v>324</v>
      </c>
      <c r="Q76" s="4" t="s">
        <v>325</v>
      </c>
      <c r="T76" s="4" t="s">
        <v>326</v>
      </c>
      <c r="U76" s="4" t="s">
        <v>123</v>
      </c>
      <c r="V76" s="170" t="n">
        <v>44300</v>
      </c>
      <c r="W76" s="4" t="n">
        <v>1</v>
      </c>
      <c r="X76" s="4" t="n">
        <v>9</v>
      </c>
      <c r="AA76" s="4" t="n">
        <v>1.875</v>
      </c>
      <c r="AB76" s="4" t="n">
        <v>68</v>
      </c>
      <c r="AC76" s="4" t="s">
        <v>327</v>
      </c>
      <c r="AD76" s="4" t="n">
        <v>2.90000009536743</v>
      </c>
      <c r="AE76" s="4" t="n">
        <v>68</v>
      </c>
      <c r="AF76" s="4" t="s">
        <v>328</v>
      </c>
      <c r="AG76" s="4" t="s">
        <v>329</v>
      </c>
      <c r="AH76" s="4" t="s">
        <v>330</v>
      </c>
      <c r="AI76" s="4" t="s">
        <v>331</v>
      </c>
      <c r="AR76" s="4" t="s">
        <v>332</v>
      </c>
      <c r="AS76" s="4" t="s">
        <v>332</v>
      </c>
      <c r="AT76" s="4" t="s">
        <v>332</v>
      </c>
      <c r="AU76" s="4" t="s">
        <v>333</v>
      </c>
      <c r="AV76" s="4" t="n">
        <v>2047</v>
      </c>
      <c r="AW76" s="4" t="n">
        <v>0</v>
      </c>
      <c r="AX76" s="4" t="n">
        <v>249.996597290039</v>
      </c>
      <c r="AY76" s="4" t="n">
        <v>-0.000146000005770475</v>
      </c>
      <c r="BB76" s="4" t="n">
        <v>2047.96875</v>
      </c>
      <c r="BC76" s="4" t="n">
        <v>0</v>
      </c>
      <c r="BD76" s="4" t="n">
        <v>1513.19995117187</v>
      </c>
      <c r="BE76" s="4" t="n">
        <v>13.1999998092651</v>
      </c>
      <c r="BH76" s="4" t="n">
        <v>420</v>
      </c>
      <c r="BI76" s="4" t="n">
        <v>0</v>
      </c>
      <c r="BN76" s="4" t="n">
        <v>0.5</v>
      </c>
      <c r="BO76" s="4" t="n">
        <v>-3</v>
      </c>
      <c r="BP76" s="4" t="n">
        <v>14.6499996185303</v>
      </c>
      <c r="BQ76" s="4" t="n">
        <v>60</v>
      </c>
      <c r="BR76" s="4" t="n">
        <v>13.1999998092651</v>
      </c>
      <c r="BV76" s="4" t="n">
        <v>1</v>
      </c>
      <c r="BW76" s="4" t="s">
        <v>334</v>
      </c>
      <c r="BX76" s="4" t="n">
        <v>60</v>
      </c>
      <c r="BY76" s="4" t="s">
        <v>332</v>
      </c>
      <c r="BZ76" s="4" t="s">
        <v>332</v>
      </c>
      <c r="CA76" s="4" t="s">
        <v>332</v>
      </c>
      <c r="CB76" s="4" t="s">
        <v>333</v>
      </c>
      <c r="CC76" s="4" t="s">
        <v>332</v>
      </c>
      <c r="CD76" s="4" t="s">
        <v>332</v>
      </c>
      <c r="CE76" s="4" t="s">
        <v>332</v>
      </c>
      <c r="CF76" s="4" t="s">
        <v>333</v>
      </c>
      <c r="CK76" s="169" t="n">
        <v>43531.5672222222</v>
      </c>
      <c r="CQ76" s="4" t="n">
        <v>1245</v>
      </c>
      <c r="CR76" s="4" t="n">
        <v>1.3</v>
      </c>
      <c r="CS76" s="21" t="n">
        <v>6.9E-006</v>
      </c>
      <c r="CT76" s="4" t="n">
        <v>0.7241</v>
      </c>
      <c r="CU76" s="4" t="s">
        <v>334</v>
      </c>
      <c r="CV76" s="169" t="n">
        <v>45065</v>
      </c>
      <c r="CW76" s="4" t="s">
        <v>327</v>
      </c>
      <c r="CX76" s="4" t="s">
        <v>393</v>
      </c>
      <c r="CY76" s="4" t="n">
        <v>137</v>
      </c>
      <c r="CZ76" s="4" t="n">
        <v>1064</v>
      </c>
      <c r="DB76" s="4" t="s">
        <v>363</v>
      </c>
      <c r="DC76" s="4" t="s">
        <v>465</v>
      </c>
      <c r="DD76" s="4" t="s">
        <v>365</v>
      </c>
      <c r="DF76" s="4" t="n">
        <v>0.169</v>
      </c>
      <c r="DG76" s="4" t="n">
        <v>1.369</v>
      </c>
      <c r="DH76" s="4" t="n">
        <v>79.224</v>
      </c>
      <c r="DI76" s="4" t="n">
        <v>10.904</v>
      </c>
      <c r="DJ76" s="4" t="n">
        <v>4.714</v>
      </c>
      <c r="DK76" s="4" t="n">
        <v>0.747</v>
      </c>
      <c r="DL76" s="4" t="n">
        <v>1.59</v>
      </c>
      <c r="DM76" s="4" t="n">
        <v>0.395</v>
      </c>
      <c r="DN76" s="4" t="n">
        <v>0.426</v>
      </c>
      <c r="DO76" s="4" t="n">
        <v>0.462</v>
      </c>
      <c r="EQ76" s="4" t="s">
        <v>335</v>
      </c>
      <c r="FR76" s="4" t="s">
        <v>476</v>
      </c>
    </row>
    <row r="77" customFormat="false" ht="15.75" hidden="false" customHeight="true" outlineLevel="0" collapsed="false">
      <c r="A77" s="169" t="n">
        <v>45047.375</v>
      </c>
      <c r="B77" s="169" t="n">
        <v>45078.375</v>
      </c>
      <c r="C77" s="4" t="s">
        <v>127</v>
      </c>
      <c r="D77" s="4" t="s">
        <v>482</v>
      </c>
      <c r="E77" s="4" t="n">
        <v>172222.81</v>
      </c>
      <c r="F77" s="4" t="n">
        <v>221478.54</v>
      </c>
      <c r="G77" s="4" t="n">
        <v>171.363688488019</v>
      </c>
      <c r="I77" s="4" t="n">
        <v>1036.64300244119</v>
      </c>
      <c r="J77" s="4" t="n">
        <v>89.8957587517859</v>
      </c>
      <c r="K77" s="4" t="n">
        <v>44619.2666666667</v>
      </c>
      <c r="L77" s="4" t="n">
        <v>17.9497103805745</v>
      </c>
      <c r="N77" s="4" t="n">
        <v>1.13010439980878</v>
      </c>
      <c r="P77" s="4" t="s">
        <v>324</v>
      </c>
      <c r="Q77" s="4" t="s">
        <v>325</v>
      </c>
      <c r="T77" s="4" t="s">
        <v>326</v>
      </c>
      <c r="U77" s="4" t="s">
        <v>127</v>
      </c>
      <c r="V77" s="170" t="n">
        <v>44300</v>
      </c>
      <c r="W77" s="4" t="n">
        <v>1</v>
      </c>
      <c r="X77" s="4" t="n">
        <v>9</v>
      </c>
      <c r="AA77" s="4" t="n">
        <v>1.375</v>
      </c>
      <c r="AB77" s="4" t="n">
        <v>68</v>
      </c>
      <c r="AC77" s="4" t="s">
        <v>327</v>
      </c>
      <c r="AD77" s="4" t="n">
        <v>2.06699991226196</v>
      </c>
      <c r="AE77" s="4" t="n">
        <v>68</v>
      </c>
      <c r="AF77" s="4" t="s">
        <v>328</v>
      </c>
      <c r="AG77" s="4" t="s">
        <v>329</v>
      </c>
      <c r="AH77" s="4" t="s">
        <v>330</v>
      </c>
      <c r="AI77" s="4" t="s">
        <v>331</v>
      </c>
      <c r="AR77" s="4" t="s">
        <v>332</v>
      </c>
      <c r="AS77" s="4" t="s">
        <v>332</v>
      </c>
      <c r="AT77" s="4" t="s">
        <v>332</v>
      </c>
      <c r="AU77" s="4" t="s">
        <v>333</v>
      </c>
      <c r="AV77" s="4" t="n">
        <v>2047</v>
      </c>
      <c r="AW77" s="4" t="n">
        <v>0</v>
      </c>
      <c r="AX77" s="4" t="n">
        <v>250</v>
      </c>
      <c r="AY77" s="4" t="n">
        <v>0</v>
      </c>
      <c r="BB77" s="4" t="n">
        <v>2047.96875</v>
      </c>
      <c r="BC77" s="4" t="n">
        <v>0</v>
      </c>
      <c r="BD77" s="4" t="n">
        <v>1213.19995117187</v>
      </c>
      <c r="BE77" s="4" t="n">
        <v>13.1999998092651</v>
      </c>
      <c r="BH77" s="4" t="n">
        <v>420</v>
      </c>
      <c r="BI77" s="4" t="n">
        <v>0</v>
      </c>
      <c r="BN77" s="4" t="n">
        <v>0.5</v>
      </c>
      <c r="BO77" s="4" t="n">
        <v>-3</v>
      </c>
      <c r="BP77" s="4" t="n">
        <v>14.6499996185303</v>
      </c>
      <c r="BQ77" s="4" t="n">
        <v>60</v>
      </c>
      <c r="BR77" s="4" t="n">
        <v>13.1999998092651</v>
      </c>
      <c r="BV77" s="4" t="n">
        <v>1</v>
      </c>
      <c r="BW77" s="4" t="s">
        <v>334</v>
      </c>
      <c r="BX77" s="4" t="n">
        <v>60</v>
      </c>
      <c r="BY77" s="4" t="s">
        <v>332</v>
      </c>
      <c r="BZ77" s="4" t="s">
        <v>332</v>
      </c>
      <c r="CA77" s="4" t="s">
        <v>332</v>
      </c>
      <c r="CB77" s="4" t="s">
        <v>333</v>
      </c>
      <c r="CC77" s="4" t="s">
        <v>332</v>
      </c>
      <c r="CD77" s="4" t="s">
        <v>332</v>
      </c>
      <c r="CE77" s="4" t="s">
        <v>332</v>
      </c>
      <c r="CF77" s="4" t="s">
        <v>333</v>
      </c>
      <c r="CK77" s="169" t="n">
        <v>44754.58125</v>
      </c>
      <c r="CL77" s="169" t="n">
        <v>44754.5608449074</v>
      </c>
      <c r="CQ77" s="4" t="n">
        <v>1286</v>
      </c>
      <c r="CR77" s="4" t="n">
        <v>1.3</v>
      </c>
      <c r="CS77" s="21" t="n">
        <v>6.9E-006</v>
      </c>
      <c r="CT77" s="4" t="n">
        <v>0.7455</v>
      </c>
      <c r="CU77" s="4" t="s">
        <v>334</v>
      </c>
      <c r="CV77" s="169" t="n">
        <v>44997</v>
      </c>
      <c r="CW77" s="4" t="s">
        <v>327</v>
      </c>
      <c r="CX77" s="4" t="s">
        <v>350</v>
      </c>
      <c r="CY77" s="4" t="n">
        <v>81</v>
      </c>
      <c r="CZ77" s="4" t="n">
        <v>1062</v>
      </c>
      <c r="DB77" s="4" t="s">
        <v>341</v>
      </c>
      <c r="DC77" s="4" t="s">
        <v>480</v>
      </c>
      <c r="DD77" s="4" t="s">
        <v>360</v>
      </c>
      <c r="DF77" s="4" t="n">
        <v>0.165</v>
      </c>
      <c r="DG77" s="4" t="n">
        <v>0.914</v>
      </c>
      <c r="DH77" s="4" t="n">
        <v>77.476</v>
      </c>
      <c r="DI77" s="4" t="n">
        <v>11.587</v>
      </c>
      <c r="DJ77" s="4" t="n">
        <v>5.416</v>
      </c>
      <c r="DK77" s="4" t="n">
        <v>0.908</v>
      </c>
      <c r="DL77" s="4" t="n">
        <v>2.013</v>
      </c>
      <c r="DM77" s="4" t="n">
        <v>0.514</v>
      </c>
      <c r="DN77" s="4" t="n">
        <v>0.569</v>
      </c>
      <c r="DO77" s="4" t="n">
        <v>0.438</v>
      </c>
      <c r="EQ77" s="4" t="s">
        <v>335</v>
      </c>
      <c r="FR77" s="4" t="s">
        <v>476</v>
      </c>
    </row>
    <row r="78" customFormat="false" ht="15.75" hidden="false" customHeight="true" outlineLevel="0" collapsed="false">
      <c r="A78" s="169" t="n">
        <v>45047.375</v>
      </c>
      <c r="B78" s="169" t="n">
        <v>45078.375</v>
      </c>
      <c r="C78" s="4" t="s">
        <v>131</v>
      </c>
      <c r="D78" s="4" t="s">
        <v>483</v>
      </c>
      <c r="E78" s="4" t="n">
        <v>152794.15</v>
      </c>
      <c r="F78" s="4" t="n">
        <v>197868.43</v>
      </c>
      <c r="G78" s="4" t="n">
        <v>76.4447256366423</v>
      </c>
      <c r="I78" s="4" t="n">
        <v>1115.52557812614</v>
      </c>
      <c r="J78" s="4" t="n">
        <v>100.347614182127</v>
      </c>
      <c r="K78" s="4" t="n">
        <v>44639.4166666667</v>
      </c>
      <c r="L78" s="4" t="n">
        <v>12.2597172106678</v>
      </c>
      <c r="N78" s="4" t="n">
        <v>1.13317143143826</v>
      </c>
      <c r="P78" s="4" t="s">
        <v>324</v>
      </c>
      <c r="Q78" s="4" t="s">
        <v>325</v>
      </c>
      <c r="T78" s="4" t="s">
        <v>326</v>
      </c>
      <c r="U78" s="4" t="s">
        <v>131</v>
      </c>
      <c r="V78" s="170" t="n">
        <v>44300</v>
      </c>
      <c r="W78" s="4" t="n">
        <v>1</v>
      </c>
      <c r="X78" s="4" t="n">
        <v>9</v>
      </c>
      <c r="AA78" s="4" t="n">
        <v>1.625</v>
      </c>
      <c r="AB78" s="4" t="n">
        <v>68</v>
      </c>
      <c r="AC78" s="4" t="s">
        <v>327</v>
      </c>
      <c r="AD78" s="4" t="n">
        <v>2.90000009536743</v>
      </c>
      <c r="AE78" s="4" t="n">
        <v>68</v>
      </c>
      <c r="AF78" s="4" t="s">
        <v>328</v>
      </c>
      <c r="AG78" s="4" t="s">
        <v>329</v>
      </c>
      <c r="AH78" s="4" t="s">
        <v>330</v>
      </c>
      <c r="AI78" s="4" t="s">
        <v>331</v>
      </c>
      <c r="AR78" s="4" t="s">
        <v>332</v>
      </c>
      <c r="AS78" s="4" t="s">
        <v>332</v>
      </c>
      <c r="AT78" s="4" t="s">
        <v>332</v>
      </c>
      <c r="AU78" s="4" t="s">
        <v>333</v>
      </c>
      <c r="AV78" s="4" t="n">
        <v>2047</v>
      </c>
      <c r="AW78" s="4" t="n">
        <v>0</v>
      </c>
      <c r="AX78" s="4" t="n">
        <v>250</v>
      </c>
      <c r="AY78" s="4" t="n">
        <v>0</v>
      </c>
      <c r="BB78" s="4" t="n">
        <v>2047.96875</v>
      </c>
      <c r="BC78" s="4" t="n">
        <v>0</v>
      </c>
      <c r="BD78" s="4" t="n">
        <v>1513.19995117187</v>
      </c>
      <c r="BE78" s="4" t="n">
        <v>13.1999998092651</v>
      </c>
      <c r="BH78" s="4" t="n">
        <v>420</v>
      </c>
      <c r="BI78" s="4" t="n">
        <v>0</v>
      </c>
      <c r="BN78" s="4" t="n">
        <v>0.5</v>
      </c>
      <c r="BO78" s="4" t="n">
        <v>-3</v>
      </c>
      <c r="BP78" s="4" t="n">
        <v>14.6499996185303</v>
      </c>
      <c r="BQ78" s="4" t="n">
        <v>60</v>
      </c>
      <c r="BR78" s="4" t="n">
        <v>13.1999998092651</v>
      </c>
      <c r="BV78" s="4" t="s">
        <v>333</v>
      </c>
      <c r="BW78" s="4" t="s">
        <v>334</v>
      </c>
      <c r="BX78" s="4" t="n">
        <v>60</v>
      </c>
      <c r="BY78" s="4" t="s">
        <v>332</v>
      </c>
      <c r="BZ78" s="4" t="s">
        <v>332</v>
      </c>
      <c r="CA78" s="4" t="s">
        <v>332</v>
      </c>
      <c r="CB78" s="4" t="s">
        <v>333</v>
      </c>
      <c r="CC78" s="4" t="s">
        <v>332</v>
      </c>
      <c r="CD78" s="4" t="s">
        <v>332</v>
      </c>
      <c r="CE78" s="4" t="s">
        <v>332</v>
      </c>
      <c r="CF78" s="4" t="s">
        <v>333</v>
      </c>
      <c r="CK78" s="169" t="n">
        <v>43531.5672222222</v>
      </c>
      <c r="CQ78" s="4" t="n">
        <v>1295</v>
      </c>
      <c r="CR78" s="4" t="n">
        <v>1.3</v>
      </c>
      <c r="CS78" s="21" t="n">
        <v>6.9E-006</v>
      </c>
      <c r="CT78" s="4" t="n">
        <v>0.7555</v>
      </c>
      <c r="CU78" s="4" t="s">
        <v>334</v>
      </c>
      <c r="CV78" s="169" t="n">
        <v>45001</v>
      </c>
      <c r="CW78" s="4" t="s">
        <v>327</v>
      </c>
      <c r="CX78" s="4" t="s">
        <v>350</v>
      </c>
      <c r="CY78" s="4" t="n">
        <v>90</v>
      </c>
      <c r="CZ78" s="4" t="n">
        <v>1174</v>
      </c>
      <c r="DB78" s="4" t="s">
        <v>341</v>
      </c>
      <c r="DC78" s="4" t="s">
        <v>484</v>
      </c>
      <c r="DD78" s="4" t="s">
        <v>360</v>
      </c>
      <c r="DF78" s="4" t="n">
        <v>0.176</v>
      </c>
      <c r="DG78" s="4" t="n">
        <v>1.239</v>
      </c>
      <c r="DH78" s="4" t="n">
        <v>77.009</v>
      </c>
      <c r="DI78" s="4" t="n">
        <v>11.315</v>
      </c>
      <c r="DJ78" s="4" t="n">
        <v>5.509</v>
      </c>
      <c r="DK78" s="4" t="n">
        <v>0.852</v>
      </c>
      <c r="DL78" s="4" t="n">
        <v>1.99</v>
      </c>
      <c r="DM78" s="4" t="n">
        <v>0.53</v>
      </c>
      <c r="DN78" s="4" t="n">
        <v>0.602</v>
      </c>
      <c r="DO78" s="4" t="n">
        <v>0.778</v>
      </c>
      <c r="EQ78" s="4" t="s">
        <v>335</v>
      </c>
      <c r="FR78" s="4" t="s">
        <v>476</v>
      </c>
    </row>
    <row r="79" customFormat="false" ht="15.75" hidden="false" customHeight="true" outlineLevel="0" collapsed="false">
      <c r="A79" s="169" t="n">
        <v>45047.375</v>
      </c>
      <c r="B79" s="169" t="n">
        <v>45078.375</v>
      </c>
      <c r="C79" s="4" t="s">
        <v>135</v>
      </c>
      <c r="D79" s="4" t="s">
        <v>485</v>
      </c>
      <c r="E79" s="4" t="n">
        <v>0</v>
      </c>
      <c r="F79" s="4" t="n">
        <v>0</v>
      </c>
      <c r="G79" s="4" t="n">
        <v>0</v>
      </c>
      <c r="I79" s="4" t="n">
        <v>1064.66138802805</v>
      </c>
      <c r="J79" s="4" t="n">
        <v>81.4762345283262</v>
      </c>
      <c r="K79" s="4" t="n">
        <v>0</v>
      </c>
      <c r="L79" s="4" t="n">
        <v>0.00170814891633551</v>
      </c>
      <c r="N79" s="4" t="n">
        <v>1.14263422753594</v>
      </c>
      <c r="P79" s="4" t="s">
        <v>324</v>
      </c>
      <c r="Q79" s="4" t="s">
        <v>325</v>
      </c>
      <c r="T79" s="4" t="s">
        <v>326</v>
      </c>
      <c r="U79" s="4" t="s">
        <v>135</v>
      </c>
      <c r="V79" s="170" t="n">
        <v>44378</v>
      </c>
      <c r="W79" s="4" t="n">
        <v>1</v>
      </c>
      <c r="X79" s="4" t="n">
        <v>9</v>
      </c>
      <c r="AA79" s="4" t="n">
        <v>1.875</v>
      </c>
      <c r="AB79" s="4" t="n">
        <v>68</v>
      </c>
      <c r="AC79" s="4" t="s">
        <v>327</v>
      </c>
      <c r="AD79" s="4" t="n">
        <v>3.82399988174438</v>
      </c>
      <c r="AE79" s="4" t="n">
        <v>68</v>
      </c>
      <c r="AF79" s="4" t="s">
        <v>328</v>
      </c>
      <c r="AG79" s="4" t="s">
        <v>329</v>
      </c>
      <c r="AH79" s="4" t="s">
        <v>330</v>
      </c>
      <c r="AI79" s="4" t="s">
        <v>331</v>
      </c>
      <c r="AR79" s="4" t="s">
        <v>332</v>
      </c>
      <c r="AS79" s="4" t="s">
        <v>332</v>
      </c>
      <c r="AT79" s="4" t="s">
        <v>332</v>
      </c>
      <c r="AU79" s="4" t="s">
        <v>333</v>
      </c>
      <c r="AV79" s="4" t="n">
        <v>2047</v>
      </c>
      <c r="AW79" s="4" t="n">
        <v>0</v>
      </c>
      <c r="AX79" s="4" t="n">
        <v>400</v>
      </c>
      <c r="AY79" s="4" t="n">
        <v>0</v>
      </c>
      <c r="BB79" s="4" t="n">
        <v>2047.96875</v>
      </c>
      <c r="BC79" s="4" t="n">
        <v>0</v>
      </c>
      <c r="BD79" s="4" t="n">
        <v>1513.19995117187</v>
      </c>
      <c r="BE79" s="4" t="n">
        <v>13.1999998092651</v>
      </c>
      <c r="BH79" s="4" t="n">
        <v>420</v>
      </c>
      <c r="BI79" s="4" t="n">
        <v>0</v>
      </c>
      <c r="BN79" s="4" t="n">
        <v>0.5</v>
      </c>
      <c r="BO79" s="4" t="n">
        <v>-3</v>
      </c>
      <c r="BP79" s="4" t="n">
        <v>14.6499996185303</v>
      </c>
      <c r="BQ79" s="4" t="n">
        <v>60</v>
      </c>
      <c r="BR79" s="4" t="n">
        <v>13.1999998092651</v>
      </c>
      <c r="BV79" s="4" t="n">
        <v>1</v>
      </c>
      <c r="BW79" s="4" t="s">
        <v>334</v>
      </c>
      <c r="BX79" s="4" t="n">
        <v>60</v>
      </c>
      <c r="BY79" s="4" t="s">
        <v>332</v>
      </c>
      <c r="BZ79" s="4" t="s">
        <v>332</v>
      </c>
      <c r="CA79" s="4" t="s">
        <v>332</v>
      </c>
      <c r="CB79" s="4" t="s">
        <v>333</v>
      </c>
      <c r="CC79" s="4" t="s">
        <v>332</v>
      </c>
      <c r="CD79" s="4" t="s">
        <v>332</v>
      </c>
      <c r="CE79" s="4" t="s">
        <v>332</v>
      </c>
      <c r="CF79" s="4" t="s">
        <v>333</v>
      </c>
      <c r="CK79" s="169" t="n">
        <v>45012.6774074074</v>
      </c>
      <c r="CL79" s="169" t="n">
        <v>45012.6716319445</v>
      </c>
      <c r="CQ79" s="4" t="n">
        <v>1349</v>
      </c>
      <c r="CR79" s="4" t="n">
        <v>1.3</v>
      </c>
      <c r="CS79" s="21" t="n">
        <v>6.9E-006</v>
      </c>
      <c r="CT79" s="4" t="n">
        <v>0.7992</v>
      </c>
      <c r="CU79" s="4" t="s">
        <v>334</v>
      </c>
      <c r="CV79" s="169" t="n">
        <v>45069</v>
      </c>
      <c r="CW79" s="4" t="s">
        <v>328</v>
      </c>
      <c r="CX79" s="4" t="s">
        <v>340</v>
      </c>
      <c r="CY79" s="4" t="n">
        <v>101</v>
      </c>
      <c r="CZ79" s="4" t="n">
        <v>30</v>
      </c>
      <c r="DB79" s="4" t="s">
        <v>363</v>
      </c>
      <c r="DC79" s="4" t="s">
        <v>435</v>
      </c>
      <c r="DD79" s="4" t="s">
        <v>360</v>
      </c>
      <c r="DF79" s="4" t="n">
        <v>0.714</v>
      </c>
      <c r="DG79" s="4" t="n">
        <v>1.323</v>
      </c>
      <c r="DH79" s="4" t="n">
        <v>71.66</v>
      </c>
      <c r="DI79" s="4" t="n">
        <v>12.662</v>
      </c>
      <c r="DJ79" s="4" t="n">
        <v>8.25299999999999</v>
      </c>
      <c r="DK79" s="4" t="n">
        <v>0.986000000000001</v>
      </c>
      <c r="DL79" s="4" t="n">
        <v>2.889</v>
      </c>
      <c r="DM79" s="4" t="n">
        <v>0.538</v>
      </c>
      <c r="DN79" s="4" t="n">
        <v>0.574</v>
      </c>
      <c r="DO79" s="4" t="n">
        <v>0.401</v>
      </c>
      <c r="EQ79" s="4" t="s">
        <v>335</v>
      </c>
      <c r="FR79" s="4" t="s">
        <v>361</v>
      </c>
    </row>
    <row r="80" customFormat="false" ht="15.75" hidden="false" customHeight="true" outlineLevel="0" collapsed="false">
      <c r="A80" s="169" t="n">
        <v>45047.375</v>
      </c>
      <c r="B80" s="169" t="n">
        <v>45078.375</v>
      </c>
      <c r="C80" s="4" t="s">
        <v>156</v>
      </c>
      <c r="D80" s="4" t="s">
        <v>486</v>
      </c>
      <c r="E80" s="4" t="n">
        <v>19998.06</v>
      </c>
      <c r="F80" s="4" t="n">
        <v>24537.62</v>
      </c>
      <c r="G80" s="4" t="n">
        <v>12.4326007914628</v>
      </c>
      <c r="I80" s="4" t="n">
        <v>122.975097667388</v>
      </c>
      <c r="J80" s="4" t="n">
        <v>52.2823209655079</v>
      </c>
      <c r="K80" s="4" t="n">
        <v>35132.9833333333</v>
      </c>
      <c r="L80" s="4" t="n">
        <v>1.62677977264484</v>
      </c>
      <c r="N80" s="4" t="n">
        <v>1.01402883400239</v>
      </c>
      <c r="P80" s="4" t="s">
        <v>324</v>
      </c>
      <c r="Q80" s="4" t="s">
        <v>325</v>
      </c>
      <c r="T80" s="4" t="s">
        <v>326</v>
      </c>
      <c r="U80" s="4" t="s">
        <v>156</v>
      </c>
      <c r="V80" s="170" t="n">
        <v>43354</v>
      </c>
      <c r="W80" s="4" t="n">
        <v>1</v>
      </c>
      <c r="X80" s="4" t="n">
        <v>9</v>
      </c>
      <c r="AA80" s="4" t="n">
        <v>2</v>
      </c>
      <c r="AB80" s="4" t="n">
        <v>68</v>
      </c>
      <c r="AC80" s="4" t="s">
        <v>327</v>
      </c>
      <c r="AD80" s="4" t="n">
        <v>4.02600002288818</v>
      </c>
      <c r="AE80" s="4" t="n">
        <v>68</v>
      </c>
      <c r="AF80" s="4" t="s">
        <v>328</v>
      </c>
      <c r="AG80" s="4" t="s">
        <v>329</v>
      </c>
      <c r="AH80" s="4" t="s">
        <v>330</v>
      </c>
      <c r="AI80" s="4" t="s">
        <v>331</v>
      </c>
      <c r="AR80" s="4" t="s">
        <v>332</v>
      </c>
      <c r="AS80" s="4" t="s">
        <v>332</v>
      </c>
      <c r="AT80" s="4" t="s">
        <v>332</v>
      </c>
      <c r="AU80" s="4" t="s">
        <v>333</v>
      </c>
      <c r="AV80" s="4" t="n">
        <v>250</v>
      </c>
      <c r="AW80" s="4" t="n">
        <v>0</v>
      </c>
      <c r="AX80" s="4" t="n">
        <v>400</v>
      </c>
      <c r="AY80" s="4" t="n">
        <v>0</v>
      </c>
      <c r="BB80" s="4" t="n">
        <v>263.200012207031</v>
      </c>
      <c r="BC80" s="4" t="n">
        <v>13.1999998092651</v>
      </c>
      <c r="BD80" s="4" t="n">
        <v>263.200012207031</v>
      </c>
      <c r="BE80" s="4" t="n">
        <v>13.1999998092651</v>
      </c>
      <c r="BH80" s="4" t="n">
        <v>150</v>
      </c>
      <c r="BI80" s="4" t="n">
        <v>0</v>
      </c>
      <c r="BN80" s="4" t="n">
        <v>0.5</v>
      </c>
      <c r="BO80" s="4" t="n">
        <v>-3</v>
      </c>
      <c r="BP80" s="4" t="n">
        <v>14.6499996185303</v>
      </c>
      <c r="BQ80" s="4" t="n">
        <v>60</v>
      </c>
      <c r="BR80" s="4" t="n">
        <v>13.1999998092651</v>
      </c>
      <c r="BV80" s="4" t="n">
        <v>1</v>
      </c>
      <c r="BW80" s="4" t="s">
        <v>334</v>
      </c>
      <c r="BX80" s="4" t="n">
        <v>60</v>
      </c>
      <c r="BY80" s="4" t="s">
        <v>332</v>
      </c>
      <c r="BZ80" s="4" t="s">
        <v>332</v>
      </c>
      <c r="CA80" s="4" t="s">
        <v>332</v>
      </c>
      <c r="CB80" s="4" t="s">
        <v>333</v>
      </c>
      <c r="CC80" s="4" t="s">
        <v>332</v>
      </c>
      <c r="CD80" s="4" t="s">
        <v>332</v>
      </c>
      <c r="CE80" s="4" t="s">
        <v>333</v>
      </c>
      <c r="CF80" s="4" t="s">
        <v>333</v>
      </c>
      <c r="CK80" s="169" t="n">
        <v>45050.4856134259</v>
      </c>
      <c r="CL80" s="169" t="n">
        <v>45050.4856134259</v>
      </c>
      <c r="CQ80" s="4" t="n">
        <v>1227</v>
      </c>
      <c r="CR80" s="4" t="n">
        <v>1.29999995231628</v>
      </c>
      <c r="CS80" s="21" t="n">
        <v>0.0102679999545217</v>
      </c>
      <c r="CT80" s="4" t="n">
        <v>0.702</v>
      </c>
      <c r="CU80" s="4" t="s">
        <v>334</v>
      </c>
      <c r="CV80" s="169" t="n">
        <v>44713</v>
      </c>
      <c r="CW80" s="4" t="s">
        <v>327</v>
      </c>
      <c r="DF80" s="4" t="n">
        <v>0.052</v>
      </c>
      <c r="DG80" s="4" t="n">
        <v>0.586</v>
      </c>
      <c r="DH80" s="4" t="n">
        <v>80.843</v>
      </c>
      <c r="DI80" s="4" t="n">
        <v>11.222</v>
      </c>
      <c r="DJ80" s="4" t="n">
        <v>4.513</v>
      </c>
      <c r="DK80" s="4" t="n">
        <v>0.709</v>
      </c>
      <c r="DL80" s="4" t="n">
        <v>1.339</v>
      </c>
      <c r="DM80" s="4" t="n">
        <v>0.285</v>
      </c>
      <c r="DN80" s="4" t="n">
        <v>0.286</v>
      </c>
      <c r="DO80" s="4" t="n">
        <v>0.165</v>
      </c>
      <c r="EQ80" s="4" t="s">
        <v>335</v>
      </c>
      <c r="FR80" s="4" t="s">
        <v>487</v>
      </c>
    </row>
    <row r="81" customFormat="false" ht="15.75" hidden="false" customHeight="true" outlineLevel="0" collapsed="false">
      <c r="A81" s="169" t="n">
        <v>45047.375</v>
      </c>
      <c r="B81" s="169" t="n">
        <v>45078.375</v>
      </c>
      <c r="C81" s="4" t="s">
        <v>488</v>
      </c>
      <c r="D81" s="4" t="s">
        <v>489</v>
      </c>
      <c r="E81" s="4" t="n">
        <v>0</v>
      </c>
      <c r="F81" s="4" t="n">
        <v>0</v>
      </c>
      <c r="G81" s="4" t="n">
        <v>0</v>
      </c>
      <c r="I81" s="4" t="n">
        <v>949.155968778877</v>
      </c>
      <c r="J81" s="4" t="n">
        <v>76.2936269647332</v>
      </c>
      <c r="K81" s="4" t="n">
        <v>0</v>
      </c>
      <c r="L81" s="4" t="n">
        <v>0</v>
      </c>
      <c r="P81" s="4" t="s">
        <v>367</v>
      </c>
      <c r="Q81" s="4" t="s">
        <v>325</v>
      </c>
      <c r="T81" s="4" t="s">
        <v>326</v>
      </c>
      <c r="U81" s="4" t="s">
        <v>488</v>
      </c>
      <c r="V81" s="170" t="n">
        <v>43354</v>
      </c>
      <c r="W81" s="4" t="n">
        <v>1</v>
      </c>
      <c r="X81" s="4" t="n">
        <v>8</v>
      </c>
      <c r="AA81" s="4" t="n">
        <v>1.12513995170593</v>
      </c>
      <c r="AB81" s="4" t="n">
        <v>68</v>
      </c>
      <c r="AC81" s="4" t="s">
        <v>327</v>
      </c>
      <c r="AD81" s="4" t="n">
        <v>1.93900001049042</v>
      </c>
      <c r="AE81" s="4" t="n">
        <v>68</v>
      </c>
      <c r="AF81" s="4" t="s">
        <v>328</v>
      </c>
      <c r="AG81" s="4" t="s">
        <v>329</v>
      </c>
      <c r="AH81" s="4" t="s">
        <v>330</v>
      </c>
      <c r="AI81" s="4" t="s">
        <v>331</v>
      </c>
      <c r="AR81" s="4" t="s">
        <v>332</v>
      </c>
      <c r="AS81" s="4" t="s">
        <v>332</v>
      </c>
      <c r="AT81" s="4" t="s">
        <v>332</v>
      </c>
      <c r="AU81" s="4" t="s">
        <v>333</v>
      </c>
      <c r="AV81" s="4" t="n">
        <v>110</v>
      </c>
      <c r="AW81" s="4" t="n">
        <v>-10</v>
      </c>
      <c r="AX81" s="4" t="n">
        <v>200</v>
      </c>
      <c r="AY81" s="4" t="n">
        <v>0</v>
      </c>
      <c r="BB81" s="4" t="n">
        <v>110</v>
      </c>
      <c r="BC81" s="4" t="n">
        <v>-10</v>
      </c>
      <c r="BD81" s="4" t="n">
        <v>1200</v>
      </c>
      <c r="BE81" s="4" t="n">
        <v>0</v>
      </c>
      <c r="BH81" s="4" t="n">
        <v>110</v>
      </c>
      <c r="BI81" s="4" t="n">
        <v>-10</v>
      </c>
      <c r="BJ81" s="4" t="n">
        <v>150</v>
      </c>
      <c r="BK81" s="4" t="n">
        <v>0</v>
      </c>
      <c r="BN81" s="4" t="n">
        <v>0.5</v>
      </c>
      <c r="BO81" s="4" t="n">
        <v>-3</v>
      </c>
      <c r="BP81" s="4" t="n">
        <v>14.7299995422363</v>
      </c>
      <c r="BQ81" s="4" t="n">
        <v>60</v>
      </c>
      <c r="BR81" s="4" t="n">
        <v>14.4499998092651</v>
      </c>
      <c r="BV81" s="4" t="n">
        <v>1</v>
      </c>
      <c r="BW81" s="4" t="s">
        <v>334</v>
      </c>
      <c r="BX81" s="4" t="n">
        <v>60</v>
      </c>
      <c r="BY81" s="4" t="s">
        <v>333</v>
      </c>
      <c r="BZ81" s="4" t="s">
        <v>333</v>
      </c>
      <c r="CA81" s="4" t="s">
        <v>333</v>
      </c>
      <c r="CB81" s="4" t="s">
        <v>333</v>
      </c>
      <c r="CC81" s="4" t="s">
        <v>333</v>
      </c>
      <c r="CD81" s="4" t="s">
        <v>333</v>
      </c>
      <c r="CE81" s="4" t="s">
        <v>332</v>
      </c>
      <c r="CF81" s="4" t="s">
        <v>333</v>
      </c>
      <c r="CK81" s="169" t="n">
        <v>43415.562349537</v>
      </c>
      <c r="CL81" s="169"/>
      <c r="CN81" s="4" t="n">
        <v>500</v>
      </c>
      <c r="CO81" s="4" t="n">
        <v>35</v>
      </c>
      <c r="CQ81" s="4" t="n">
        <v>1027.18896484375</v>
      </c>
      <c r="CR81" s="4" t="n">
        <v>1.29999995231628</v>
      </c>
      <c r="CS81" s="21" t="n">
        <v>6.89999978931155E-006</v>
      </c>
      <c r="CT81" s="4" t="n">
        <v>0.57353800535202</v>
      </c>
      <c r="CU81" s="4" t="s">
        <v>334</v>
      </c>
      <c r="CV81" s="169" t="n">
        <v>43424.4166666667</v>
      </c>
      <c r="CW81" s="4" t="s">
        <v>327</v>
      </c>
      <c r="DF81" s="4" t="n">
        <v>0</v>
      </c>
      <c r="DG81" s="4" t="n">
        <v>1</v>
      </c>
      <c r="DH81" s="4" t="n">
        <v>96</v>
      </c>
      <c r="DI81" s="4" t="n">
        <v>3</v>
      </c>
      <c r="DJ81" s="4" t="n">
        <v>0</v>
      </c>
      <c r="DK81" s="4" t="n">
        <v>0</v>
      </c>
      <c r="DL81" s="4" t="n">
        <v>0</v>
      </c>
      <c r="DM81" s="4" t="n">
        <v>0</v>
      </c>
      <c r="DN81" s="4" t="n">
        <v>0</v>
      </c>
      <c r="DO81" s="4" t="n">
        <v>0</v>
      </c>
      <c r="DQ81" s="4" t="n">
        <v>0</v>
      </c>
      <c r="DR81" s="4" t="n">
        <v>0</v>
      </c>
      <c r="DS81" s="4" t="n">
        <v>0</v>
      </c>
      <c r="DT81" s="4" t="n">
        <v>0</v>
      </c>
      <c r="DU81" s="4" t="n">
        <v>0</v>
      </c>
      <c r="DV81" s="4" t="n">
        <v>0</v>
      </c>
      <c r="DW81" s="4" t="n">
        <v>0</v>
      </c>
      <c r="DX81" s="4" t="n">
        <v>0</v>
      </c>
      <c r="DY81" s="4" t="n">
        <v>0</v>
      </c>
      <c r="DZ81" s="4" t="n">
        <v>0</v>
      </c>
      <c r="EA81" s="4" t="n">
        <v>0</v>
      </c>
      <c r="EQ81" s="4" t="s">
        <v>335</v>
      </c>
    </row>
    <row r="82" customFormat="false" ht="15.75" hidden="false" customHeight="true" outlineLevel="0" collapsed="false">
      <c r="A82" s="169" t="n">
        <v>45047.375</v>
      </c>
      <c r="B82" s="169" t="n">
        <v>45078.375</v>
      </c>
      <c r="C82" s="4" t="s">
        <v>126</v>
      </c>
      <c r="D82" s="4" t="s">
        <v>490</v>
      </c>
      <c r="E82" s="4" t="n">
        <v>11319.04</v>
      </c>
      <c r="F82" s="4" t="n">
        <v>11851.04</v>
      </c>
      <c r="G82" s="4" t="n">
        <v>70.7247868301381</v>
      </c>
      <c r="I82" s="4" t="n">
        <v>198.217424504064</v>
      </c>
      <c r="J82" s="4" t="n">
        <v>78.4962704705735</v>
      </c>
      <c r="K82" s="4" t="n">
        <v>43965.3666666667</v>
      </c>
      <c r="L82" s="4" t="n">
        <v>4.78137034811834</v>
      </c>
      <c r="N82" s="4" t="n">
        <v>1.01257824391052</v>
      </c>
      <c r="P82" s="4" t="s">
        <v>324</v>
      </c>
      <c r="Q82" s="4" t="s">
        <v>325</v>
      </c>
      <c r="T82" s="4" t="s">
        <v>326</v>
      </c>
      <c r="U82" s="4" t="s">
        <v>126</v>
      </c>
      <c r="V82" s="170" t="n">
        <v>43712</v>
      </c>
      <c r="W82" s="4" t="n">
        <v>1</v>
      </c>
      <c r="X82" s="4" t="n">
        <v>9</v>
      </c>
      <c r="AA82" s="4" t="n">
        <v>0.75</v>
      </c>
      <c r="AB82" s="4" t="n">
        <v>68</v>
      </c>
      <c r="AC82" s="4" t="s">
        <v>327</v>
      </c>
      <c r="AD82" s="4" t="n">
        <v>4.02500009536743</v>
      </c>
      <c r="AE82" s="4" t="n">
        <v>68</v>
      </c>
      <c r="AF82" s="4" t="s">
        <v>328</v>
      </c>
      <c r="AG82" s="4" t="s">
        <v>329</v>
      </c>
      <c r="AH82" s="4" t="s">
        <v>330</v>
      </c>
      <c r="AI82" s="4" t="s">
        <v>331</v>
      </c>
      <c r="AR82" s="4" t="s">
        <v>333</v>
      </c>
      <c r="AS82" s="4" t="s">
        <v>333</v>
      </c>
      <c r="AT82" s="4" t="s">
        <v>333</v>
      </c>
      <c r="AU82" s="4" t="s">
        <v>333</v>
      </c>
      <c r="AV82" s="4" t="n">
        <v>2047</v>
      </c>
      <c r="AW82" s="4" t="n">
        <v>0</v>
      </c>
      <c r="AX82" s="4" t="n">
        <v>400</v>
      </c>
      <c r="AY82" s="4" t="n">
        <v>0</v>
      </c>
      <c r="BB82" s="4" t="n">
        <v>2047.96875</v>
      </c>
      <c r="BC82" s="4" t="n">
        <v>0</v>
      </c>
      <c r="BD82" s="4" t="n">
        <v>100</v>
      </c>
      <c r="BE82" s="4" t="n">
        <v>0</v>
      </c>
      <c r="BH82" s="4" t="n">
        <v>420</v>
      </c>
      <c r="BI82" s="4" t="n">
        <v>0</v>
      </c>
      <c r="BN82" s="4" t="n">
        <v>0.5</v>
      </c>
      <c r="BO82" s="4" t="n">
        <v>-3</v>
      </c>
      <c r="BP82" s="4" t="n">
        <v>14.6499996185303</v>
      </c>
      <c r="BQ82" s="4" t="n">
        <v>60</v>
      </c>
      <c r="BR82" s="4" t="n">
        <v>13.1999998092651</v>
      </c>
      <c r="BV82" s="4" t="n">
        <v>1</v>
      </c>
      <c r="BW82" s="4" t="s">
        <v>334</v>
      </c>
      <c r="BX82" s="4" t="n">
        <v>60</v>
      </c>
      <c r="BY82" s="4" t="s">
        <v>332</v>
      </c>
      <c r="BZ82" s="4" t="s">
        <v>332</v>
      </c>
      <c r="CA82" s="4" t="s">
        <v>332</v>
      </c>
      <c r="CB82" s="4" t="s">
        <v>333</v>
      </c>
      <c r="CC82" s="4" t="s">
        <v>332</v>
      </c>
      <c r="CD82" s="4" t="s">
        <v>332</v>
      </c>
      <c r="CE82" s="4" t="s">
        <v>332</v>
      </c>
      <c r="CF82" s="4" t="s">
        <v>333</v>
      </c>
      <c r="CK82" s="169" t="n">
        <v>44891.358275463</v>
      </c>
      <c r="CL82" s="169" t="n">
        <v>44891.358275463</v>
      </c>
      <c r="CQ82" s="4" t="n">
        <v>1047</v>
      </c>
      <c r="CR82" s="4" t="n">
        <v>1.3</v>
      </c>
      <c r="CS82" s="21" t="n">
        <v>6.9E-006</v>
      </c>
      <c r="CT82" s="4" t="n">
        <v>0.5999</v>
      </c>
      <c r="CU82" s="4" t="s">
        <v>334</v>
      </c>
      <c r="CV82" s="169" t="n">
        <v>45048</v>
      </c>
      <c r="CW82" s="4" t="s">
        <v>327</v>
      </c>
      <c r="CX82" s="4" t="s">
        <v>393</v>
      </c>
      <c r="CY82" s="4" t="n">
        <v>76</v>
      </c>
      <c r="CZ82" s="4" t="n">
        <v>194</v>
      </c>
      <c r="DB82" s="4" t="s">
        <v>386</v>
      </c>
      <c r="DC82" s="4" t="s">
        <v>491</v>
      </c>
      <c r="DD82" s="4" t="s">
        <v>365</v>
      </c>
      <c r="DF82" s="4" t="n">
        <v>0.173</v>
      </c>
      <c r="DG82" s="4" t="n">
        <v>1.672</v>
      </c>
      <c r="DH82" s="4" t="n">
        <v>90.977</v>
      </c>
      <c r="DI82" s="4" t="n">
        <v>6.867</v>
      </c>
      <c r="DJ82" s="4" t="n">
        <v>0.311</v>
      </c>
      <c r="EQ82" s="4" t="s">
        <v>335</v>
      </c>
      <c r="FR82" s="4" t="s">
        <v>417</v>
      </c>
    </row>
    <row r="83" customFormat="false" ht="15.75" hidden="false" customHeight="true" outlineLevel="0" collapsed="false">
      <c r="A83" s="169" t="n">
        <v>45047.375</v>
      </c>
      <c r="B83" s="169" t="n">
        <v>45078.375</v>
      </c>
      <c r="C83" s="4" t="s">
        <v>492</v>
      </c>
      <c r="D83" s="4" t="s">
        <v>493</v>
      </c>
      <c r="E83" s="4" t="n">
        <v>8457.51</v>
      </c>
      <c r="F83" s="4" t="n">
        <v>10757.95</v>
      </c>
      <c r="G83" s="4" t="n">
        <v>34.9244114745607</v>
      </c>
      <c r="I83" s="4" t="n">
        <v>1040.92171684071</v>
      </c>
      <c r="J83" s="4" t="n">
        <v>107.223600216401</v>
      </c>
      <c r="K83" s="4" t="n">
        <v>44192.2833333333</v>
      </c>
      <c r="L83" s="4" t="n">
        <v>9.21003569698174</v>
      </c>
      <c r="N83" s="4" t="n">
        <v>1.10811522665582</v>
      </c>
      <c r="P83" s="4" t="s">
        <v>324</v>
      </c>
      <c r="Q83" s="4" t="s">
        <v>325</v>
      </c>
      <c r="T83" s="4" t="s">
        <v>326</v>
      </c>
      <c r="U83" s="4" t="s">
        <v>492</v>
      </c>
      <c r="V83" s="170" t="n">
        <v>43782</v>
      </c>
      <c r="W83" s="4" t="n">
        <v>1</v>
      </c>
      <c r="X83" s="4" t="n">
        <v>9</v>
      </c>
      <c r="AA83" s="4" t="n">
        <v>0.5</v>
      </c>
      <c r="AB83" s="4" t="n">
        <v>68</v>
      </c>
      <c r="AC83" s="4" t="s">
        <v>327</v>
      </c>
      <c r="AD83" s="4" t="n">
        <v>2.06699991226196</v>
      </c>
      <c r="AE83" s="4" t="n">
        <v>68</v>
      </c>
      <c r="AF83" s="4" t="s">
        <v>328</v>
      </c>
      <c r="AG83" s="4" t="s">
        <v>329</v>
      </c>
      <c r="AH83" s="4" t="s">
        <v>330</v>
      </c>
      <c r="AI83" s="4" t="s">
        <v>331</v>
      </c>
      <c r="AR83" s="4" t="s">
        <v>332</v>
      </c>
      <c r="AS83" s="4" t="s">
        <v>332</v>
      </c>
      <c r="AT83" s="4" t="s">
        <v>332</v>
      </c>
      <c r="AU83" s="4" t="s">
        <v>333</v>
      </c>
      <c r="AV83" s="4" t="n">
        <v>2047</v>
      </c>
      <c r="AW83" s="4" t="n">
        <v>0</v>
      </c>
      <c r="AX83" s="4" t="n">
        <v>400</v>
      </c>
      <c r="AY83" s="4" t="n">
        <v>0</v>
      </c>
      <c r="BB83" s="4" t="n">
        <v>2047.96875</v>
      </c>
      <c r="BC83" s="4" t="n">
        <v>0</v>
      </c>
      <c r="BD83" s="4" t="n">
        <v>1213.19995117187</v>
      </c>
      <c r="BE83" s="4" t="n">
        <v>13.1999998092651</v>
      </c>
      <c r="BH83" s="4" t="n">
        <v>420</v>
      </c>
      <c r="BI83" s="4" t="n">
        <v>0</v>
      </c>
      <c r="BN83" s="4" t="n">
        <v>0.5</v>
      </c>
      <c r="BO83" s="4" t="n">
        <v>-3</v>
      </c>
      <c r="BP83" s="4" t="n">
        <v>14.6499996185303</v>
      </c>
      <c r="BQ83" s="4" t="n">
        <v>60</v>
      </c>
      <c r="BR83" s="4" t="n">
        <v>13.1999998092651</v>
      </c>
      <c r="BV83" s="4" t="n">
        <v>1</v>
      </c>
      <c r="BW83" s="4" t="s">
        <v>334</v>
      </c>
      <c r="BX83" s="4" t="n">
        <v>60</v>
      </c>
      <c r="BY83" s="4" t="s">
        <v>332</v>
      </c>
      <c r="BZ83" s="4" t="s">
        <v>332</v>
      </c>
      <c r="CA83" s="4" t="s">
        <v>332</v>
      </c>
      <c r="CB83" s="4" t="s">
        <v>333</v>
      </c>
      <c r="CC83" s="4" t="s">
        <v>332</v>
      </c>
      <c r="CD83" s="4" t="s">
        <v>332</v>
      </c>
      <c r="CE83" s="4" t="s">
        <v>332</v>
      </c>
      <c r="CF83" s="4" t="s">
        <v>333</v>
      </c>
      <c r="CK83" s="169" t="n">
        <v>44893.6579398148</v>
      </c>
      <c r="CL83" s="169" t="n">
        <v>44893.6579398148</v>
      </c>
      <c r="CQ83" s="4" t="n">
        <v>1272</v>
      </c>
      <c r="CR83" s="4" t="n">
        <v>1.3</v>
      </c>
      <c r="CS83" s="21" t="n">
        <v>6.9E-006</v>
      </c>
      <c r="CT83" s="4" t="n">
        <v>0.7388</v>
      </c>
      <c r="CU83" s="4" t="s">
        <v>334</v>
      </c>
      <c r="CV83" s="169" t="n">
        <v>45004</v>
      </c>
      <c r="CW83" s="4" t="s">
        <v>327</v>
      </c>
      <c r="CX83" s="4" t="s">
        <v>350</v>
      </c>
      <c r="CY83" s="4" t="n">
        <v>78</v>
      </c>
      <c r="CZ83" s="4" t="n">
        <v>1006</v>
      </c>
      <c r="DB83" s="4" t="s">
        <v>341</v>
      </c>
      <c r="DC83" s="4" t="s">
        <v>494</v>
      </c>
      <c r="DD83" s="4" t="s">
        <v>380</v>
      </c>
      <c r="DF83" s="4" t="n">
        <v>0.098</v>
      </c>
      <c r="DG83" s="4" t="n">
        <v>1.188</v>
      </c>
      <c r="DH83" s="4" t="n">
        <v>78.317</v>
      </c>
      <c r="DI83" s="4" t="n">
        <v>10.966</v>
      </c>
      <c r="DJ83" s="4" t="n">
        <v>5.032</v>
      </c>
      <c r="DK83" s="4" t="n">
        <v>0.888</v>
      </c>
      <c r="DL83" s="4" t="n">
        <v>1.936</v>
      </c>
      <c r="DM83" s="4" t="n">
        <v>0.561</v>
      </c>
      <c r="DN83" s="4" t="n">
        <v>0.58</v>
      </c>
      <c r="DO83" s="4" t="n">
        <v>0.434</v>
      </c>
      <c r="EJ83" s="4" t="s">
        <v>493</v>
      </c>
      <c r="EQ83" s="4" t="s">
        <v>335</v>
      </c>
      <c r="FR83" s="4" t="s">
        <v>495</v>
      </c>
    </row>
    <row r="84" customFormat="false" ht="15.75" hidden="false" customHeight="true" outlineLevel="0" collapsed="false">
      <c r="A84" s="169" t="n">
        <v>45047.375</v>
      </c>
      <c r="B84" s="169" t="n">
        <v>45078.375</v>
      </c>
      <c r="C84" s="4" t="s">
        <v>130</v>
      </c>
      <c r="D84" s="4" t="s">
        <v>496</v>
      </c>
      <c r="E84" s="4" t="n">
        <v>216704.95</v>
      </c>
      <c r="F84" s="4" t="n">
        <v>218005.18</v>
      </c>
      <c r="G84" s="4" t="n">
        <v>137.395686860178</v>
      </c>
      <c r="I84" s="4" t="n">
        <v>202.212218830063</v>
      </c>
      <c r="J84" s="4" t="n">
        <v>84.810464792761</v>
      </c>
      <c r="K84" s="4" t="n">
        <v>44640</v>
      </c>
      <c r="L84" s="4" t="n">
        <v>7.03884372495703</v>
      </c>
      <c r="N84" s="4" t="n">
        <v>1.01065534939016</v>
      </c>
      <c r="P84" s="4" t="s">
        <v>324</v>
      </c>
      <c r="Q84" s="4" t="s">
        <v>325</v>
      </c>
      <c r="T84" s="4" t="s">
        <v>326</v>
      </c>
      <c r="U84" s="4" t="s">
        <v>130</v>
      </c>
      <c r="V84" s="170" t="n">
        <v>43469</v>
      </c>
      <c r="W84" s="4" t="n">
        <v>1</v>
      </c>
      <c r="X84" s="4" t="n">
        <v>9</v>
      </c>
      <c r="AA84" s="4" t="n">
        <v>2.5</v>
      </c>
      <c r="AB84" s="4" t="n">
        <v>68</v>
      </c>
      <c r="AC84" s="4" t="s">
        <v>327</v>
      </c>
      <c r="AD84" s="4" t="n">
        <v>4.02600002288818</v>
      </c>
      <c r="AE84" s="4" t="n">
        <v>68</v>
      </c>
      <c r="AF84" s="4" t="s">
        <v>328</v>
      </c>
      <c r="AG84" s="4" t="s">
        <v>329</v>
      </c>
      <c r="AH84" s="4" t="s">
        <v>330</v>
      </c>
      <c r="AI84" s="4" t="s">
        <v>331</v>
      </c>
      <c r="AR84" s="4" t="s">
        <v>332</v>
      </c>
      <c r="AS84" s="4" t="s">
        <v>332</v>
      </c>
      <c r="AT84" s="4" t="s">
        <v>332</v>
      </c>
      <c r="AU84" s="4" t="s">
        <v>333</v>
      </c>
      <c r="AV84" s="4" t="n">
        <v>2047</v>
      </c>
      <c r="AW84" s="4" t="n">
        <v>0</v>
      </c>
      <c r="AX84" s="4" t="n">
        <v>400</v>
      </c>
      <c r="AY84" s="4" t="n">
        <v>0</v>
      </c>
      <c r="BB84" s="4" t="n">
        <v>2047</v>
      </c>
      <c r="BC84" s="4" t="n">
        <v>0</v>
      </c>
      <c r="BD84" s="4" t="n">
        <v>100</v>
      </c>
      <c r="BE84" s="4" t="n">
        <v>0</v>
      </c>
      <c r="BH84" s="4" t="n">
        <v>420</v>
      </c>
      <c r="BI84" s="4" t="n">
        <v>0</v>
      </c>
      <c r="BN84" s="4" t="n">
        <v>0.5</v>
      </c>
      <c r="BO84" s="4" t="n">
        <v>-3</v>
      </c>
      <c r="BP84" s="4" t="n">
        <v>14.6499996185303</v>
      </c>
      <c r="BQ84" s="4" t="n">
        <v>60</v>
      </c>
      <c r="BR84" s="4" t="n">
        <v>13.1999998092651</v>
      </c>
      <c r="BV84" s="4" t="n">
        <v>1</v>
      </c>
      <c r="BW84" s="4" t="s">
        <v>334</v>
      </c>
      <c r="BX84" s="4" t="n">
        <v>60</v>
      </c>
      <c r="BY84" s="4" t="s">
        <v>332</v>
      </c>
      <c r="BZ84" s="4" t="s">
        <v>332</v>
      </c>
      <c r="CA84" s="4" t="s">
        <v>332</v>
      </c>
      <c r="CB84" s="4" t="s">
        <v>333</v>
      </c>
      <c r="CC84" s="4" t="s">
        <v>332</v>
      </c>
      <c r="CD84" s="4" t="s">
        <v>332</v>
      </c>
      <c r="CE84" s="4" t="s">
        <v>332</v>
      </c>
      <c r="CF84" s="4" t="s">
        <v>333</v>
      </c>
      <c r="CK84" s="169" t="n">
        <v>44950.0469444445</v>
      </c>
      <c r="CL84" s="169" t="n">
        <v>44950.0469444445</v>
      </c>
      <c r="CQ84" s="4" t="n">
        <v>1006</v>
      </c>
      <c r="CR84" s="4" t="n">
        <v>1.3</v>
      </c>
      <c r="CS84" s="21" t="n">
        <v>6.9E-006</v>
      </c>
      <c r="CT84" s="4" t="n">
        <v>0.5662</v>
      </c>
      <c r="CU84" s="4" t="s">
        <v>334</v>
      </c>
      <c r="CV84" s="169" t="n">
        <v>45048</v>
      </c>
      <c r="CW84" s="4" t="s">
        <v>327</v>
      </c>
      <c r="CX84" s="4" t="s">
        <v>350</v>
      </c>
      <c r="CY84" s="4" t="n">
        <v>86</v>
      </c>
      <c r="CZ84" s="4" t="n">
        <v>202</v>
      </c>
      <c r="DB84" s="4" t="s">
        <v>386</v>
      </c>
      <c r="DC84" s="4" t="s">
        <v>497</v>
      </c>
      <c r="DD84" s="4" t="s">
        <v>365</v>
      </c>
      <c r="DG84" s="4" t="n">
        <v>1.262</v>
      </c>
      <c r="DH84" s="4" t="n">
        <v>97.633</v>
      </c>
      <c r="DI84" s="4" t="n">
        <v>0.961</v>
      </c>
      <c r="DJ84" s="4" t="n">
        <v>0.122</v>
      </c>
      <c r="DK84" s="4" t="n">
        <v>0.009</v>
      </c>
      <c r="DL84" s="4" t="n">
        <v>0.013</v>
      </c>
      <c r="EQ84" s="4" t="s">
        <v>335</v>
      </c>
      <c r="FR84" s="4" t="s">
        <v>369</v>
      </c>
    </row>
    <row r="85" customFormat="false" ht="15.75" hidden="false" customHeight="true" outlineLevel="0" collapsed="false">
      <c r="A85" s="169" t="n">
        <v>45047.375</v>
      </c>
      <c r="B85" s="169" t="n">
        <v>45078.375</v>
      </c>
      <c r="C85" s="4" t="s">
        <v>134</v>
      </c>
      <c r="D85" s="4" t="s">
        <v>498</v>
      </c>
      <c r="E85" s="4" t="n">
        <v>42390.88</v>
      </c>
      <c r="F85" s="4" t="n">
        <v>44425.64</v>
      </c>
      <c r="G85" s="4" t="n">
        <v>66.7974510865649</v>
      </c>
      <c r="I85" s="4" t="n">
        <v>197.8148757552</v>
      </c>
      <c r="J85" s="4" t="n">
        <v>77.9702156528944</v>
      </c>
      <c r="K85" s="4" t="n">
        <v>32366.9333333333</v>
      </c>
      <c r="L85" s="4" t="n">
        <v>4.56271588872452</v>
      </c>
      <c r="N85" s="4" t="n">
        <v>1.01260963129174</v>
      </c>
      <c r="P85" s="4" t="s">
        <v>324</v>
      </c>
      <c r="Q85" s="4" t="s">
        <v>325</v>
      </c>
      <c r="T85" s="4" t="s">
        <v>326</v>
      </c>
      <c r="U85" s="4" t="s">
        <v>134</v>
      </c>
      <c r="V85" s="170" t="n">
        <v>43679</v>
      </c>
      <c r="W85" s="4" t="n">
        <v>1</v>
      </c>
      <c r="X85" s="4" t="n">
        <v>9</v>
      </c>
      <c r="AA85" s="4" t="n">
        <v>1.75</v>
      </c>
      <c r="AB85" s="4" t="n">
        <v>68</v>
      </c>
      <c r="AC85" s="4" t="s">
        <v>327</v>
      </c>
      <c r="AD85" s="4" t="n">
        <v>4.02500009536743</v>
      </c>
      <c r="AE85" s="4" t="n">
        <v>68</v>
      </c>
      <c r="AF85" s="4" t="s">
        <v>328</v>
      </c>
      <c r="AG85" s="4" t="s">
        <v>329</v>
      </c>
      <c r="AH85" s="4" t="s">
        <v>330</v>
      </c>
      <c r="AI85" s="4" t="s">
        <v>331</v>
      </c>
      <c r="AR85" s="4" t="s">
        <v>333</v>
      </c>
      <c r="AS85" s="4" t="s">
        <v>333</v>
      </c>
      <c r="AT85" s="4" t="s">
        <v>333</v>
      </c>
      <c r="AU85" s="4" t="s">
        <v>333</v>
      </c>
      <c r="AV85" s="4" t="n">
        <v>2047</v>
      </c>
      <c r="AW85" s="4" t="n">
        <v>0</v>
      </c>
      <c r="AX85" s="4" t="n">
        <v>400</v>
      </c>
      <c r="AY85" s="4" t="n">
        <v>0</v>
      </c>
      <c r="BB85" s="4" t="n">
        <v>2047</v>
      </c>
      <c r="BC85" s="4" t="n">
        <v>0</v>
      </c>
      <c r="BD85" s="4" t="n">
        <v>1513.19995117187</v>
      </c>
      <c r="BE85" s="4" t="n">
        <v>13.1999998092651</v>
      </c>
      <c r="BH85" s="4" t="n">
        <v>420</v>
      </c>
      <c r="BI85" s="4" t="n">
        <v>0</v>
      </c>
      <c r="BN85" s="4" t="n">
        <v>0.5</v>
      </c>
      <c r="BO85" s="4" t="n">
        <v>-3</v>
      </c>
      <c r="BP85" s="4" t="n">
        <v>14.6499996185303</v>
      </c>
      <c r="BQ85" s="4" t="n">
        <v>60</v>
      </c>
      <c r="BR85" s="4" t="n">
        <v>13.1999998092651</v>
      </c>
      <c r="BV85" s="4" t="n">
        <v>1</v>
      </c>
      <c r="BW85" s="4" t="s">
        <v>334</v>
      </c>
      <c r="BX85" s="4" t="n">
        <v>60</v>
      </c>
      <c r="BY85" s="4" t="s">
        <v>332</v>
      </c>
      <c r="BZ85" s="4" t="s">
        <v>332</v>
      </c>
      <c r="CA85" s="4" t="s">
        <v>332</v>
      </c>
      <c r="CB85" s="4" t="s">
        <v>333</v>
      </c>
      <c r="CC85" s="4" t="s">
        <v>332</v>
      </c>
      <c r="CD85" s="4" t="s">
        <v>332</v>
      </c>
      <c r="CE85" s="4" t="s">
        <v>332</v>
      </c>
      <c r="CF85" s="4" t="s">
        <v>333</v>
      </c>
      <c r="CK85" s="169" t="n">
        <v>44891.358275463</v>
      </c>
      <c r="CL85" s="169" t="n">
        <v>44891.358275463</v>
      </c>
      <c r="CQ85" s="4" t="n">
        <v>1048</v>
      </c>
      <c r="CR85" s="4" t="n">
        <v>1.3</v>
      </c>
      <c r="CS85" s="21" t="n">
        <v>6.9E-006</v>
      </c>
      <c r="CT85" s="4" t="n">
        <v>0.5999</v>
      </c>
      <c r="CU85" s="4" t="s">
        <v>334</v>
      </c>
      <c r="CV85" s="169" t="n">
        <v>45048</v>
      </c>
      <c r="CW85" s="4" t="s">
        <v>327</v>
      </c>
      <c r="CX85" s="4" t="s">
        <v>393</v>
      </c>
      <c r="CY85" s="4" t="n">
        <v>75</v>
      </c>
      <c r="CZ85" s="4" t="n">
        <v>197</v>
      </c>
      <c r="DB85" s="4" t="s">
        <v>386</v>
      </c>
      <c r="DC85" s="4" t="s">
        <v>491</v>
      </c>
      <c r="DD85" s="4" t="s">
        <v>380</v>
      </c>
      <c r="DF85" s="4" t="n">
        <v>0.17</v>
      </c>
      <c r="DG85" s="4" t="n">
        <v>1.625</v>
      </c>
      <c r="DH85" s="4" t="n">
        <v>91.001</v>
      </c>
      <c r="DI85" s="4" t="n">
        <v>6.877</v>
      </c>
      <c r="DJ85" s="4" t="n">
        <v>0.327</v>
      </c>
      <c r="EQ85" s="4" t="s">
        <v>335</v>
      </c>
      <c r="FR85" s="4" t="s">
        <v>417</v>
      </c>
    </row>
    <row r="86" customFormat="false" ht="15.75" hidden="false" customHeight="true" outlineLevel="0" collapsed="false">
      <c r="A86" s="169" t="n">
        <v>45047.375</v>
      </c>
      <c r="B86" s="169" t="n">
        <v>45078.375</v>
      </c>
      <c r="C86" s="4" t="s">
        <v>499</v>
      </c>
      <c r="D86" s="4" t="s">
        <v>500</v>
      </c>
      <c r="E86" s="4" t="n">
        <v>28805.14</v>
      </c>
      <c r="F86" s="4" t="n">
        <v>36006.43</v>
      </c>
      <c r="G86" s="4" t="n">
        <v>55.9815875148307</v>
      </c>
      <c r="I86" s="4" t="n">
        <v>381.703252411703</v>
      </c>
      <c r="J86" s="4" t="n">
        <v>79.9733044954915</v>
      </c>
      <c r="K86" s="4" t="n">
        <v>43317.1833333333</v>
      </c>
      <c r="L86" s="4" t="n">
        <v>5.75556947893053</v>
      </c>
      <c r="N86" s="4" t="n">
        <v>1.04127484498021</v>
      </c>
      <c r="P86" s="4" t="s">
        <v>324</v>
      </c>
      <c r="Q86" s="4" t="s">
        <v>325</v>
      </c>
      <c r="T86" s="4" t="s">
        <v>326</v>
      </c>
      <c r="U86" s="4" t="s">
        <v>499</v>
      </c>
      <c r="V86" s="170" t="n">
        <v>43354</v>
      </c>
      <c r="W86" s="4" t="n">
        <v>1</v>
      </c>
      <c r="X86" s="4" t="n">
        <v>9</v>
      </c>
      <c r="AA86" s="4" t="n">
        <v>1.125</v>
      </c>
      <c r="AB86" s="4" t="n">
        <v>68</v>
      </c>
      <c r="AC86" s="4" t="s">
        <v>327</v>
      </c>
      <c r="AD86" s="4" t="n">
        <v>2.0699999332428</v>
      </c>
      <c r="AE86" s="4" t="n">
        <v>68</v>
      </c>
      <c r="AF86" s="4" t="s">
        <v>328</v>
      </c>
      <c r="AG86" s="4" t="s">
        <v>329</v>
      </c>
      <c r="AH86" s="4" t="s">
        <v>330</v>
      </c>
      <c r="AI86" s="4" t="s">
        <v>331</v>
      </c>
      <c r="AR86" s="4" t="s">
        <v>332</v>
      </c>
      <c r="AS86" s="4" t="s">
        <v>332</v>
      </c>
      <c r="AT86" s="4" t="s">
        <v>332</v>
      </c>
      <c r="AU86" s="4" t="s">
        <v>333</v>
      </c>
      <c r="AV86" s="4" t="n">
        <v>250</v>
      </c>
      <c r="AW86" s="4" t="n">
        <v>0</v>
      </c>
      <c r="AX86" s="4" t="n">
        <v>400</v>
      </c>
      <c r="AY86" s="4" t="n">
        <v>0</v>
      </c>
      <c r="BB86" s="4" t="n">
        <v>263.200012207031</v>
      </c>
      <c r="BC86" s="4" t="n">
        <v>13.1999998092651</v>
      </c>
      <c r="BD86" s="4" t="n">
        <v>263.200012207031</v>
      </c>
      <c r="BE86" s="4" t="n">
        <v>13.1999998092651</v>
      </c>
      <c r="BH86" s="4" t="n">
        <v>150</v>
      </c>
      <c r="BI86" s="4" t="n">
        <v>0</v>
      </c>
      <c r="BN86" s="4" t="n">
        <v>0.5</v>
      </c>
      <c r="BO86" s="4" t="n">
        <v>-3</v>
      </c>
      <c r="BP86" s="4" t="n">
        <v>14.6499996185303</v>
      </c>
      <c r="BQ86" s="4" t="n">
        <v>60</v>
      </c>
      <c r="BR86" s="4" t="n">
        <v>13.1999998092651</v>
      </c>
      <c r="BV86" s="4" t="n">
        <v>1</v>
      </c>
      <c r="BW86" s="4" t="s">
        <v>334</v>
      </c>
      <c r="BX86" s="4" t="n">
        <v>60</v>
      </c>
      <c r="BY86" s="4" t="s">
        <v>332</v>
      </c>
      <c r="BZ86" s="4" t="s">
        <v>332</v>
      </c>
      <c r="CA86" s="4" t="s">
        <v>332</v>
      </c>
      <c r="CB86" s="4" t="s">
        <v>333</v>
      </c>
      <c r="CC86" s="4" t="s">
        <v>332</v>
      </c>
      <c r="CD86" s="4" t="s">
        <v>332</v>
      </c>
      <c r="CE86" s="4" t="s">
        <v>333</v>
      </c>
      <c r="CF86" s="4" t="s">
        <v>333</v>
      </c>
      <c r="CK86" s="169" t="n">
        <v>44827.6531481482</v>
      </c>
      <c r="CL86" s="169" t="n">
        <v>44827.6531481482</v>
      </c>
      <c r="CQ86" s="4" t="n">
        <v>1250</v>
      </c>
      <c r="CR86" s="4" t="n">
        <v>1.3</v>
      </c>
      <c r="CS86" s="21" t="n">
        <v>6.9E-006</v>
      </c>
      <c r="CT86" s="4" t="n">
        <v>0.7184</v>
      </c>
      <c r="CU86" s="4" t="s">
        <v>334</v>
      </c>
      <c r="CV86" s="169" t="n">
        <v>45062</v>
      </c>
      <c r="CW86" s="4" t="s">
        <v>327</v>
      </c>
      <c r="CX86" s="4" t="s">
        <v>340</v>
      </c>
      <c r="CY86" s="4" t="n">
        <v>71</v>
      </c>
      <c r="CZ86" s="4" t="n">
        <v>66</v>
      </c>
      <c r="DB86" s="4" t="s">
        <v>341</v>
      </c>
      <c r="DC86" s="4" t="s">
        <v>342</v>
      </c>
      <c r="DD86" s="4" t="s">
        <v>380</v>
      </c>
      <c r="DF86" s="4" t="n">
        <v>0.125</v>
      </c>
      <c r="DG86" s="4" t="n">
        <v>0.594</v>
      </c>
      <c r="DH86" s="4" t="n">
        <v>80.708</v>
      </c>
      <c r="DI86" s="4" t="n">
        <v>10.699</v>
      </c>
      <c r="DJ86" s="4" t="n">
        <v>4.223</v>
      </c>
      <c r="DK86" s="4" t="n">
        <v>0.728</v>
      </c>
      <c r="DL86" s="4" t="n">
        <v>1.381</v>
      </c>
      <c r="DM86" s="4" t="n">
        <v>0.387</v>
      </c>
      <c r="DN86" s="4" t="n">
        <v>0.416</v>
      </c>
      <c r="DO86" s="4" t="n">
        <v>0.739</v>
      </c>
      <c r="EQ86" s="4" t="s">
        <v>335</v>
      </c>
      <c r="FR86" s="4" t="s">
        <v>501</v>
      </c>
    </row>
    <row r="87" customFormat="false" ht="15.75" hidden="false" customHeight="true" outlineLevel="0" collapsed="false">
      <c r="A87" s="169" t="n">
        <v>45047.375</v>
      </c>
      <c r="B87" s="169" t="n">
        <v>45078.375</v>
      </c>
      <c r="C87" s="4" t="s">
        <v>502</v>
      </c>
      <c r="D87" s="4" t="s">
        <v>503</v>
      </c>
      <c r="E87" s="4" t="n">
        <v>19006.73</v>
      </c>
      <c r="F87" s="4" t="n">
        <v>24062.52</v>
      </c>
      <c r="G87" s="4" t="n">
        <v>155.453832255266</v>
      </c>
      <c r="I87" s="4" t="n">
        <v>1117.10386073734</v>
      </c>
      <c r="J87" s="4" t="n">
        <v>119.655024376546</v>
      </c>
      <c r="K87" s="4" t="n">
        <v>44640</v>
      </c>
      <c r="L87" s="4" t="n">
        <v>17.2426630028367</v>
      </c>
      <c r="N87" s="4" t="n">
        <v>1.10222378639119</v>
      </c>
      <c r="P87" s="4" t="s">
        <v>324</v>
      </c>
      <c r="Q87" s="4" t="s">
        <v>325</v>
      </c>
      <c r="T87" s="4" t="s">
        <v>326</v>
      </c>
      <c r="U87" s="4" t="s">
        <v>502</v>
      </c>
      <c r="V87" s="170" t="n">
        <v>43774</v>
      </c>
      <c r="W87" s="4" t="n">
        <v>1</v>
      </c>
      <c r="X87" s="4" t="n">
        <v>9</v>
      </c>
      <c r="AA87" s="4" t="n">
        <v>0.5</v>
      </c>
      <c r="AB87" s="4" t="n">
        <v>68</v>
      </c>
      <c r="AC87" s="4" t="s">
        <v>327</v>
      </c>
      <c r="AD87" s="4" t="n">
        <v>2.06699991226196</v>
      </c>
      <c r="AE87" s="4" t="n">
        <v>68</v>
      </c>
      <c r="AF87" s="4" t="s">
        <v>328</v>
      </c>
      <c r="AG87" s="4" t="s">
        <v>329</v>
      </c>
      <c r="AH87" s="4" t="s">
        <v>330</v>
      </c>
      <c r="AI87" s="4" t="s">
        <v>331</v>
      </c>
      <c r="AR87" s="4" t="s">
        <v>332</v>
      </c>
      <c r="AS87" s="4" t="s">
        <v>332</v>
      </c>
      <c r="AT87" s="4" t="s">
        <v>332</v>
      </c>
      <c r="AU87" s="4" t="s">
        <v>333</v>
      </c>
      <c r="AV87" s="4" t="n">
        <v>2047</v>
      </c>
      <c r="AW87" s="4" t="n">
        <v>0</v>
      </c>
      <c r="AX87" s="4" t="n">
        <v>400</v>
      </c>
      <c r="AY87" s="4" t="n">
        <v>0</v>
      </c>
      <c r="BB87" s="4" t="n">
        <v>2047.96875</v>
      </c>
      <c r="BC87" s="4" t="n">
        <v>0</v>
      </c>
      <c r="BD87" s="4" t="n">
        <v>514.72998046875</v>
      </c>
      <c r="BE87" s="4" t="n">
        <v>14.7299995422363</v>
      </c>
      <c r="BH87" s="4" t="n">
        <v>420</v>
      </c>
      <c r="BI87" s="4" t="n">
        <v>0</v>
      </c>
      <c r="BN87" s="4" t="n">
        <v>0.5</v>
      </c>
      <c r="BO87" s="4" t="n">
        <v>-3</v>
      </c>
      <c r="BP87" s="4" t="n">
        <v>14.6499996185303</v>
      </c>
      <c r="BQ87" s="4" t="n">
        <v>60</v>
      </c>
      <c r="BR87" s="4" t="n">
        <v>13.1999998092651</v>
      </c>
      <c r="BV87" s="4" t="n">
        <v>1</v>
      </c>
      <c r="BW87" s="4" t="s">
        <v>334</v>
      </c>
      <c r="BX87" s="4" t="n">
        <v>60</v>
      </c>
      <c r="BY87" s="4" t="s">
        <v>332</v>
      </c>
      <c r="BZ87" s="4" t="s">
        <v>332</v>
      </c>
      <c r="CA87" s="4" t="s">
        <v>332</v>
      </c>
      <c r="CB87" s="4" t="s">
        <v>333</v>
      </c>
      <c r="CC87" s="4" t="s">
        <v>332</v>
      </c>
      <c r="CD87" s="4" t="s">
        <v>332</v>
      </c>
      <c r="CE87" s="4" t="s">
        <v>332</v>
      </c>
      <c r="CF87" s="4" t="s">
        <v>333</v>
      </c>
      <c r="CK87" s="169" t="n">
        <v>44929.5970717593</v>
      </c>
      <c r="CL87" s="169" t="n">
        <v>44929.5970717593</v>
      </c>
      <c r="CQ87" s="4" t="n">
        <v>1266</v>
      </c>
      <c r="CR87" s="4" t="n">
        <v>1.3</v>
      </c>
      <c r="CS87" s="21" t="n">
        <v>6.9E-006</v>
      </c>
      <c r="CT87" s="4" t="n">
        <v>0.7315</v>
      </c>
      <c r="CU87" s="4" t="s">
        <v>334</v>
      </c>
      <c r="CV87" s="169" t="n">
        <v>44903</v>
      </c>
      <c r="CW87" s="4" t="s">
        <v>327</v>
      </c>
      <c r="CX87" s="4" t="s">
        <v>393</v>
      </c>
      <c r="CY87" s="4" t="n">
        <v>107</v>
      </c>
      <c r="CZ87" s="4" t="n">
        <v>1137</v>
      </c>
      <c r="DB87" s="4" t="s">
        <v>363</v>
      </c>
      <c r="DC87" s="4" t="s">
        <v>504</v>
      </c>
      <c r="DD87" s="4" t="s">
        <v>355</v>
      </c>
      <c r="DF87" s="4" t="n">
        <v>0.172</v>
      </c>
      <c r="DG87" s="4" t="n">
        <v>0.803</v>
      </c>
      <c r="DH87" s="4" t="n">
        <v>78.701</v>
      </c>
      <c r="DI87" s="4" t="n">
        <v>11.447</v>
      </c>
      <c r="DJ87" s="4" t="n">
        <v>5.059</v>
      </c>
      <c r="DK87" s="4" t="n">
        <v>0.769</v>
      </c>
      <c r="DL87" s="4" t="n">
        <v>1.687</v>
      </c>
      <c r="DM87" s="4" t="n">
        <v>0.402</v>
      </c>
      <c r="DN87" s="4" t="n">
        <v>0.452</v>
      </c>
      <c r="DO87" s="4" t="n">
        <v>0.508</v>
      </c>
      <c r="EQ87" s="4" t="s">
        <v>335</v>
      </c>
      <c r="FR87" s="4" t="s">
        <v>369</v>
      </c>
    </row>
    <row r="88" customFormat="false" ht="15.75" hidden="false" customHeight="true" outlineLevel="0" collapsed="false">
      <c r="A88" s="169" t="n">
        <v>45047.375</v>
      </c>
      <c r="B88" s="169" t="n">
        <v>45078.375</v>
      </c>
      <c r="C88" s="4" t="s">
        <v>505</v>
      </c>
      <c r="D88" s="4" t="s">
        <v>506</v>
      </c>
      <c r="E88" s="4" t="n">
        <v>0</v>
      </c>
      <c r="F88" s="4" t="n">
        <v>0</v>
      </c>
      <c r="G88" s="4" t="n">
        <v>0</v>
      </c>
      <c r="I88" s="4" t="n">
        <v>972.771212916221</v>
      </c>
      <c r="J88" s="4" t="n">
        <v>76.9374464763108</v>
      </c>
      <c r="K88" s="4" t="n">
        <v>0</v>
      </c>
      <c r="L88" s="4" t="n">
        <v>0.000243658296723527</v>
      </c>
      <c r="N88" s="4" t="n">
        <v>1.11315715509484</v>
      </c>
      <c r="P88" s="4" t="s">
        <v>324</v>
      </c>
      <c r="Q88" s="4" t="s">
        <v>325</v>
      </c>
      <c r="T88" s="4" t="s">
        <v>326</v>
      </c>
      <c r="U88" s="4" t="s">
        <v>505</v>
      </c>
      <c r="V88" s="170" t="n">
        <v>43782</v>
      </c>
      <c r="W88" s="4" t="n">
        <v>1</v>
      </c>
      <c r="X88" s="4" t="n">
        <v>9</v>
      </c>
      <c r="AA88" s="4" t="n">
        <v>0.625</v>
      </c>
      <c r="AB88" s="4" t="n">
        <v>68</v>
      </c>
      <c r="AC88" s="4" t="s">
        <v>327</v>
      </c>
      <c r="AD88" s="4" t="n">
        <v>1.93900001049042</v>
      </c>
      <c r="AE88" s="4" t="n">
        <v>68</v>
      </c>
      <c r="AF88" s="4" t="s">
        <v>328</v>
      </c>
      <c r="AG88" s="4" t="s">
        <v>329</v>
      </c>
      <c r="AH88" s="4" t="s">
        <v>330</v>
      </c>
      <c r="AI88" s="4" t="s">
        <v>331</v>
      </c>
      <c r="AR88" s="4" t="s">
        <v>332</v>
      </c>
      <c r="AS88" s="4" t="s">
        <v>332</v>
      </c>
      <c r="AT88" s="4" t="s">
        <v>332</v>
      </c>
      <c r="AU88" s="4" t="s">
        <v>333</v>
      </c>
      <c r="AV88" s="4" t="n">
        <v>2047</v>
      </c>
      <c r="AW88" s="4" t="n">
        <v>0</v>
      </c>
      <c r="AX88" s="4" t="n">
        <v>400</v>
      </c>
      <c r="AY88" s="4" t="n">
        <v>0</v>
      </c>
      <c r="BB88" s="4" t="n">
        <v>2047.96875</v>
      </c>
      <c r="BC88" s="4" t="n">
        <v>0</v>
      </c>
      <c r="BD88" s="4" t="n">
        <v>1513.19995117187</v>
      </c>
      <c r="BE88" s="4" t="n">
        <v>13.1999998092651</v>
      </c>
      <c r="BH88" s="4" t="n">
        <v>420</v>
      </c>
      <c r="BI88" s="4" t="n">
        <v>0</v>
      </c>
      <c r="BN88" s="4" t="n">
        <v>0.5</v>
      </c>
      <c r="BO88" s="4" t="n">
        <v>-3</v>
      </c>
      <c r="BP88" s="4" t="n">
        <v>14.6499996185303</v>
      </c>
      <c r="BQ88" s="4" t="n">
        <v>60</v>
      </c>
      <c r="BR88" s="4" t="n">
        <v>13.1999998092651</v>
      </c>
      <c r="BV88" s="4" t="n">
        <v>1</v>
      </c>
      <c r="BW88" s="4" t="s">
        <v>334</v>
      </c>
      <c r="BX88" s="4" t="n">
        <v>60</v>
      </c>
      <c r="BY88" s="4" t="s">
        <v>332</v>
      </c>
      <c r="BZ88" s="4" t="s">
        <v>332</v>
      </c>
      <c r="CA88" s="4" t="s">
        <v>332</v>
      </c>
      <c r="CB88" s="4" t="s">
        <v>333</v>
      </c>
      <c r="CC88" s="4" t="s">
        <v>332</v>
      </c>
      <c r="CD88" s="4" t="s">
        <v>332</v>
      </c>
      <c r="CE88" s="4" t="s">
        <v>332</v>
      </c>
      <c r="CF88" s="4" t="s">
        <v>333</v>
      </c>
      <c r="CK88" s="169" t="n">
        <v>44867.510474537</v>
      </c>
      <c r="CL88" s="169" t="n">
        <v>44867.510474537</v>
      </c>
      <c r="CQ88" s="4" t="n">
        <v>1231</v>
      </c>
      <c r="CR88" s="4" t="n">
        <v>1.3</v>
      </c>
      <c r="CS88" s="21" t="n">
        <v>6.9E-006</v>
      </c>
      <c r="CT88" s="4" t="n">
        <v>0.7073</v>
      </c>
      <c r="CU88" s="4" t="s">
        <v>334</v>
      </c>
      <c r="CV88" s="169" t="n">
        <v>44991</v>
      </c>
      <c r="CW88" s="4" t="s">
        <v>327</v>
      </c>
      <c r="CX88" s="4" t="s">
        <v>340</v>
      </c>
      <c r="CY88" s="4" t="n">
        <v>82</v>
      </c>
      <c r="CZ88" s="4" t="n">
        <v>122</v>
      </c>
      <c r="DB88" s="4" t="s">
        <v>363</v>
      </c>
      <c r="DC88" s="4" t="s">
        <v>507</v>
      </c>
      <c r="DD88" s="4" t="s">
        <v>365</v>
      </c>
      <c r="DF88" s="4" t="n">
        <v>0.089</v>
      </c>
      <c r="DG88" s="4" t="n">
        <v>0.754</v>
      </c>
      <c r="DH88" s="4" t="n">
        <v>81.445</v>
      </c>
      <c r="DI88" s="4" t="n">
        <v>10.582</v>
      </c>
      <c r="DJ88" s="4" t="n">
        <v>3.952</v>
      </c>
      <c r="DK88" s="4" t="n">
        <v>0.612</v>
      </c>
      <c r="DL88" s="4" t="n">
        <v>1.202</v>
      </c>
      <c r="DM88" s="4" t="n">
        <v>0.318</v>
      </c>
      <c r="DN88" s="4" t="n">
        <v>0.355</v>
      </c>
      <c r="DO88" s="4" t="n">
        <v>0.691</v>
      </c>
      <c r="EJ88" s="4" t="s">
        <v>506</v>
      </c>
      <c r="EQ88" s="4" t="s">
        <v>335</v>
      </c>
      <c r="FR88" s="4" t="s">
        <v>369</v>
      </c>
    </row>
    <row r="89" customFormat="false" ht="15.75" hidden="false" customHeight="true" outlineLevel="0" collapsed="false">
      <c r="A89" s="169" t="n">
        <v>45047.375</v>
      </c>
      <c r="B89" s="169" t="n">
        <v>45078.375</v>
      </c>
      <c r="C89" s="4" t="s">
        <v>508</v>
      </c>
      <c r="D89" s="4" t="s">
        <v>509</v>
      </c>
      <c r="E89" s="4" t="n">
        <v>4687.64</v>
      </c>
      <c r="F89" s="4" t="n">
        <v>5770.49</v>
      </c>
      <c r="G89" s="4" t="n">
        <v>29.6751771144323</v>
      </c>
      <c r="I89" s="4" t="n">
        <v>150.716542082212</v>
      </c>
      <c r="J89" s="4" t="n">
        <v>74.7739507115649</v>
      </c>
      <c r="K89" s="4" t="n">
        <v>44423.7333333333</v>
      </c>
      <c r="L89" s="4" t="n">
        <v>2.8774047688011</v>
      </c>
      <c r="N89" s="4" t="n">
        <v>1.0145706332508</v>
      </c>
      <c r="P89" s="4" t="s">
        <v>324</v>
      </c>
      <c r="Q89" s="4" t="s">
        <v>325</v>
      </c>
      <c r="T89" s="4" t="s">
        <v>326</v>
      </c>
      <c r="U89" s="4" t="s">
        <v>508</v>
      </c>
      <c r="V89" s="170" t="n">
        <v>43782</v>
      </c>
      <c r="W89" s="4" t="n">
        <v>1</v>
      </c>
      <c r="X89" s="4" t="n">
        <v>9</v>
      </c>
      <c r="AA89" s="4" t="n">
        <v>0.625</v>
      </c>
      <c r="AB89" s="4" t="n">
        <v>68</v>
      </c>
      <c r="AC89" s="4" t="s">
        <v>327</v>
      </c>
      <c r="AD89" s="4" t="n">
        <v>1.93900001049042</v>
      </c>
      <c r="AE89" s="4" t="n">
        <v>68</v>
      </c>
      <c r="AF89" s="4" t="s">
        <v>328</v>
      </c>
      <c r="AG89" s="4" t="s">
        <v>329</v>
      </c>
      <c r="AH89" s="4" t="s">
        <v>330</v>
      </c>
      <c r="AI89" s="4" t="s">
        <v>331</v>
      </c>
      <c r="AR89" s="4" t="s">
        <v>332</v>
      </c>
      <c r="AS89" s="4" t="s">
        <v>332</v>
      </c>
      <c r="AT89" s="4" t="s">
        <v>332</v>
      </c>
      <c r="AU89" s="4" t="s">
        <v>333</v>
      </c>
      <c r="AV89" s="4" t="n">
        <v>2047</v>
      </c>
      <c r="AW89" s="4" t="n">
        <v>0</v>
      </c>
      <c r="AX89" s="4" t="n">
        <v>400</v>
      </c>
      <c r="AY89" s="4" t="n">
        <v>0</v>
      </c>
      <c r="BB89" s="4" t="n">
        <v>2047.96875</v>
      </c>
      <c r="BC89" s="4" t="n">
        <v>0</v>
      </c>
      <c r="BD89" s="4" t="n">
        <v>1014.72998046875</v>
      </c>
      <c r="BE89" s="4" t="n">
        <v>14.7299995422363</v>
      </c>
      <c r="BH89" s="4" t="n">
        <v>420</v>
      </c>
      <c r="BI89" s="4" t="n">
        <v>0</v>
      </c>
      <c r="BN89" s="4" t="n">
        <v>0.5</v>
      </c>
      <c r="BO89" s="4" t="n">
        <v>-3</v>
      </c>
      <c r="BP89" s="4" t="n">
        <v>14.6499996185303</v>
      </c>
      <c r="BQ89" s="4" t="n">
        <v>60</v>
      </c>
      <c r="BR89" s="4" t="n">
        <v>13.1999998092651</v>
      </c>
      <c r="BV89" s="4" t="n">
        <v>1</v>
      </c>
      <c r="BW89" s="4" t="s">
        <v>334</v>
      </c>
      <c r="BX89" s="4" t="n">
        <v>60</v>
      </c>
      <c r="BY89" s="4" t="s">
        <v>332</v>
      </c>
      <c r="BZ89" s="4" t="s">
        <v>332</v>
      </c>
      <c r="CA89" s="4" t="s">
        <v>332</v>
      </c>
      <c r="CB89" s="4" t="s">
        <v>333</v>
      </c>
      <c r="CC89" s="4" t="s">
        <v>332</v>
      </c>
      <c r="CD89" s="4" t="s">
        <v>332</v>
      </c>
      <c r="CE89" s="4" t="s">
        <v>332</v>
      </c>
      <c r="CF89" s="4" t="s">
        <v>333</v>
      </c>
      <c r="CK89" s="169" t="n">
        <v>44867.510474537</v>
      </c>
      <c r="CL89" s="169" t="n">
        <v>44867.510474537</v>
      </c>
      <c r="CQ89" s="4" t="n">
        <v>1231</v>
      </c>
      <c r="CR89" s="4" t="n">
        <v>1.3</v>
      </c>
      <c r="CS89" s="21" t="n">
        <v>6.9E-006</v>
      </c>
      <c r="CT89" s="4" t="n">
        <v>0.7073</v>
      </c>
      <c r="CU89" s="4" t="s">
        <v>334</v>
      </c>
      <c r="CV89" s="169" t="n">
        <v>44991</v>
      </c>
      <c r="CW89" s="4" t="s">
        <v>327</v>
      </c>
      <c r="CX89" s="4" t="s">
        <v>340</v>
      </c>
      <c r="CY89" s="4" t="n">
        <v>82</v>
      </c>
      <c r="CZ89" s="4" t="n">
        <v>122</v>
      </c>
      <c r="DB89" s="4" t="s">
        <v>363</v>
      </c>
      <c r="DC89" s="4" t="s">
        <v>507</v>
      </c>
      <c r="DD89" s="4" t="s">
        <v>365</v>
      </c>
      <c r="DF89" s="4" t="n">
        <v>0.089</v>
      </c>
      <c r="DG89" s="4" t="n">
        <v>0.754</v>
      </c>
      <c r="DH89" s="4" t="n">
        <v>81.445</v>
      </c>
      <c r="DI89" s="4" t="n">
        <v>10.582</v>
      </c>
      <c r="DJ89" s="4" t="n">
        <v>3.952</v>
      </c>
      <c r="DK89" s="4" t="n">
        <v>0.612</v>
      </c>
      <c r="DL89" s="4" t="n">
        <v>1.202</v>
      </c>
      <c r="DM89" s="4" t="n">
        <v>0.318</v>
      </c>
      <c r="DN89" s="4" t="n">
        <v>0.355</v>
      </c>
      <c r="DO89" s="4" t="n">
        <v>0.691</v>
      </c>
      <c r="EJ89" s="4" t="s">
        <v>509</v>
      </c>
      <c r="EQ89" s="4" t="s">
        <v>335</v>
      </c>
      <c r="FR89" s="4" t="s">
        <v>369</v>
      </c>
    </row>
    <row r="90" customFormat="false" ht="15.75" hidden="false" customHeight="true" outlineLevel="0" collapsed="false">
      <c r="A90" s="169" t="n">
        <v>45047.375</v>
      </c>
      <c r="B90" s="169" t="n">
        <v>45078.375</v>
      </c>
      <c r="C90" s="4" t="s">
        <v>510</v>
      </c>
      <c r="D90" s="4" t="s">
        <v>511</v>
      </c>
      <c r="E90" s="4" t="n">
        <v>17944.11</v>
      </c>
      <c r="F90" s="4" t="n">
        <v>23165.84</v>
      </c>
      <c r="G90" s="4" t="n">
        <v>54.3882897184148</v>
      </c>
      <c r="I90" s="4" t="n">
        <v>1126.97190137611</v>
      </c>
      <c r="J90" s="4" t="n">
        <v>98.2546178104477</v>
      </c>
      <c r="K90" s="4" t="n">
        <v>44640</v>
      </c>
      <c r="L90" s="4" t="n">
        <v>10.3420583186704</v>
      </c>
      <c r="N90" s="4" t="n">
        <v>1.13470120289039</v>
      </c>
      <c r="P90" s="4" t="s">
        <v>324</v>
      </c>
      <c r="Q90" s="4" t="s">
        <v>325</v>
      </c>
      <c r="T90" s="4" t="s">
        <v>326</v>
      </c>
      <c r="U90" s="4" t="s">
        <v>510</v>
      </c>
      <c r="V90" s="170" t="n">
        <v>43782</v>
      </c>
      <c r="W90" s="4" t="n">
        <v>1</v>
      </c>
      <c r="X90" s="4" t="n">
        <v>9</v>
      </c>
      <c r="AA90" s="4" t="n">
        <v>0.625</v>
      </c>
      <c r="AB90" s="4" t="n">
        <v>68</v>
      </c>
      <c r="AC90" s="4" t="s">
        <v>327</v>
      </c>
      <c r="AD90" s="4" t="n">
        <v>2.06699991226196</v>
      </c>
      <c r="AE90" s="4" t="n">
        <v>68</v>
      </c>
      <c r="AF90" s="4" t="s">
        <v>328</v>
      </c>
      <c r="AG90" s="4" t="s">
        <v>329</v>
      </c>
      <c r="AH90" s="4" t="s">
        <v>330</v>
      </c>
      <c r="AI90" s="4" t="s">
        <v>331</v>
      </c>
      <c r="AR90" s="4" t="s">
        <v>332</v>
      </c>
      <c r="AS90" s="4" t="s">
        <v>332</v>
      </c>
      <c r="AT90" s="4" t="s">
        <v>332</v>
      </c>
      <c r="AU90" s="4" t="s">
        <v>333</v>
      </c>
      <c r="AV90" s="4" t="n">
        <v>2047</v>
      </c>
      <c r="AW90" s="4" t="n">
        <v>0</v>
      </c>
      <c r="AX90" s="4" t="n">
        <v>400</v>
      </c>
      <c r="AY90" s="4" t="n">
        <v>0</v>
      </c>
      <c r="BB90" s="4" t="n">
        <v>2047.96875</v>
      </c>
      <c r="BC90" s="4" t="n">
        <v>0</v>
      </c>
      <c r="BD90" s="4" t="n">
        <v>1213.19995117187</v>
      </c>
      <c r="BE90" s="4" t="n">
        <v>13.1999998092651</v>
      </c>
      <c r="BH90" s="4" t="n">
        <v>420</v>
      </c>
      <c r="BI90" s="4" t="n">
        <v>0</v>
      </c>
      <c r="BN90" s="4" t="n">
        <v>0.5</v>
      </c>
      <c r="BO90" s="4" t="n">
        <v>-3</v>
      </c>
      <c r="BP90" s="4" t="n">
        <v>14.6499996185303</v>
      </c>
      <c r="BQ90" s="4" t="n">
        <v>60</v>
      </c>
      <c r="BR90" s="4" t="n">
        <v>13.1999998092651</v>
      </c>
      <c r="BV90" s="4" t="n">
        <v>1</v>
      </c>
      <c r="BW90" s="4" t="s">
        <v>334</v>
      </c>
      <c r="BX90" s="4" t="n">
        <v>60</v>
      </c>
      <c r="BY90" s="4" t="s">
        <v>332</v>
      </c>
      <c r="BZ90" s="4" t="s">
        <v>332</v>
      </c>
      <c r="CA90" s="4" t="s">
        <v>332</v>
      </c>
      <c r="CB90" s="4" t="s">
        <v>333</v>
      </c>
      <c r="CC90" s="4" t="s">
        <v>332</v>
      </c>
      <c r="CD90" s="4" t="s">
        <v>332</v>
      </c>
      <c r="CE90" s="4" t="s">
        <v>332</v>
      </c>
      <c r="CF90" s="4" t="s">
        <v>333</v>
      </c>
      <c r="CK90" s="169" t="n">
        <v>43531.5672222222</v>
      </c>
      <c r="CQ90" s="4" t="n">
        <v>1291</v>
      </c>
      <c r="CR90" s="4" t="n">
        <v>1.3</v>
      </c>
      <c r="CS90" s="21" t="n">
        <v>6.9E-006</v>
      </c>
      <c r="CT90" s="4" t="n">
        <v>0.7511</v>
      </c>
      <c r="CU90" s="4" t="s">
        <v>334</v>
      </c>
      <c r="CV90" s="169" t="n">
        <v>45003</v>
      </c>
      <c r="CW90" s="4" t="s">
        <v>327</v>
      </c>
      <c r="CX90" s="4" t="s">
        <v>350</v>
      </c>
      <c r="CY90" s="4" t="n">
        <v>88</v>
      </c>
      <c r="CZ90" s="4" t="n">
        <v>1168</v>
      </c>
      <c r="DB90" s="4" t="s">
        <v>341</v>
      </c>
      <c r="DC90" s="4" t="s">
        <v>512</v>
      </c>
      <c r="DD90" s="4" t="s">
        <v>380</v>
      </c>
      <c r="DF90" s="4" t="n">
        <v>0.239</v>
      </c>
      <c r="DG90" s="4" t="n">
        <v>1.021</v>
      </c>
      <c r="DH90" s="4" t="n">
        <v>77.21</v>
      </c>
      <c r="DI90" s="4" t="n">
        <v>11.301</v>
      </c>
      <c r="DJ90" s="4" t="n">
        <v>5.667</v>
      </c>
      <c r="DK90" s="4" t="n">
        <v>0.891</v>
      </c>
      <c r="DL90" s="4" t="n">
        <v>2.046</v>
      </c>
      <c r="DM90" s="4" t="n">
        <v>0.493</v>
      </c>
      <c r="DN90" s="4" t="n">
        <v>0.537</v>
      </c>
      <c r="DO90" s="4" t="n">
        <v>0.595</v>
      </c>
      <c r="EQ90" s="4" t="s">
        <v>335</v>
      </c>
      <c r="FR90" s="4" t="s">
        <v>495</v>
      </c>
    </row>
    <row r="91" customFormat="false" ht="15.75" hidden="false" customHeight="true" outlineLevel="0" collapsed="false">
      <c r="A91" s="169" t="n">
        <v>45047.4166666667</v>
      </c>
      <c r="B91" s="169" t="n">
        <v>45078.4166666667</v>
      </c>
      <c r="C91" s="4" t="s">
        <v>513</v>
      </c>
      <c r="D91" s="4" t="s">
        <v>514</v>
      </c>
      <c r="E91" s="4" t="n">
        <v>24688.41</v>
      </c>
      <c r="F91" s="4" t="n">
        <v>31132.08</v>
      </c>
      <c r="G91" s="4" t="n">
        <v>23.4225418225199</v>
      </c>
      <c r="I91" s="4" t="n">
        <v>134.763348922539</v>
      </c>
      <c r="J91" s="4" t="n">
        <v>51.5958574856468</v>
      </c>
      <c r="K91" s="4" t="n">
        <v>44582.1333333333</v>
      </c>
      <c r="L91" s="4" t="n">
        <v>58.6269838936409</v>
      </c>
      <c r="N91" s="4" t="n">
        <v>1.01817043502185</v>
      </c>
      <c r="P91" s="4" t="s">
        <v>367</v>
      </c>
      <c r="Q91" s="4" t="s">
        <v>325</v>
      </c>
      <c r="T91" s="4" t="s">
        <v>326</v>
      </c>
      <c r="U91" s="4" t="s">
        <v>513</v>
      </c>
      <c r="V91" s="170" t="n">
        <v>43936</v>
      </c>
      <c r="W91" s="4" t="n">
        <v>1</v>
      </c>
      <c r="X91" s="4" t="n">
        <v>9</v>
      </c>
      <c r="AA91" s="4" t="n">
        <v>1.5</v>
      </c>
      <c r="AB91" s="4" t="n">
        <v>68</v>
      </c>
      <c r="AC91" s="4" t="s">
        <v>327</v>
      </c>
      <c r="AD91" s="4" t="n">
        <v>3.06800007820129</v>
      </c>
      <c r="AE91" s="4" t="n">
        <v>68</v>
      </c>
      <c r="AF91" s="4" t="s">
        <v>328</v>
      </c>
      <c r="AG91" s="4" t="s">
        <v>368</v>
      </c>
      <c r="AH91" s="4" t="s">
        <v>330</v>
      </c>
      <c r="AI91" s="4" t="s">
        <v>331</v>
      </c>
      <c r="AR91" s="4" t="s">
        <v>332</v>
      </c>
      <c r="AS91" s="4" t="s">
        <v>332</v>
      </c>
      <c r="AT91" s="4" t="s">
        <v>332</v>
      </c>
      <c r="AU91" s="4" t="s">
        <v>333</v>
      </c>
      <c r="AV91" s="4" t="n">
        <v>250</v>
      </c>
      <c r="AW91" s="4" t="n">
        <v>0</v>
      </c>
      <c r="AX91" s="4" t="n">
        <v>249.999984741211</v>
      </c>
      <c r="AY91" s="4" t="n">
        <v>0</v>
      </c>
      <c r="BB91" s="4" t="n">
        <v>800.644714355469</v>
      </c>
      <c r="BC91" s="4" t="n">
        <v>0</v>
      </c>
      <c r="BD91" s="4" t="n">
        <v>1485.72607421875</v>
      </c>
      <c r="BE91" s="4" t="n">
        <v>0</v>
      </c>
      <c r="BH91" s="4" t="n">
        <v>800.599975585937</v>
      </c>
      <c r="BI91" s="4" t="n">
        <v>-459.399993896484</v>
      </c>
      <c r="BJ91" s="4" t="n">
        <v>140</v>
      </c>
      <c r="BK91" s="4" t="n">
        <v>32</v>
      </c>
      <c r="BN91" s="4" t="n">
        <v>0.5</v>
      </c>
      <c r="BO91" s="4" t="n">
        <v>-3</v>
      </c>
      <c r="BP91" s="4" t="n">
        <v>14.6499996185303</v>
      </c>
      <c r="BQ91" s="4" t="n">
        <v>60</v>
      </c>
      <c r="BR91" s="4" t="n">
        <v>13.1999998092651</v>
      </c>
      <c r="BV91" s="4" t="n">
        <v>1</v>
      </c>
      <c r="BW91" s="4" t="s">
        <v>334</v>
      </c>
      <c r="BX91" s="4" t="n">
        <v>60</v>
      </c>
      <c r="BY91" s="4" t="s">
        <v>333</v>
      </c>
      <c r="BZ91" s="4" t="s">
        <v>333</v>
      </c>
      <c r="CA91" s="4" t="s">
        <v>333</v>
      </c>
      <c r="CB91" s="4" t="s">
        <v>333</v>
      </c>
      <c r="CC91" s="4" t="s">
        <v>333</v>
      </c>
      <c r="CD91" s="4" t="s">
        <v>333</v>
      </c>
      <c r="CE91" s="4" t="s">
        <v>332</v>
      </c>
      <c r="CF91" s="4" t="s">
        <v>333</v>
      </c>
      <c r="CK91" s="169" t="n">
        <v>43531.5672222222</v>
      </c>
      <c r="CN91" s="4" t="n">
        <v>500</v>
      </c>
      <c r="CO91" s="4" t="n">
        <v>35</v>
      </c>
      <c r="CQ91" s="4" t="n">
        <v>1261</v>
      </c>
      <c r="CR91" s="4" t="n">
        <v>1.3</v>
      </c>
      <c r="CS91" s="21" t="n">
        <v>6.9E-006</v>
      </c>
      <c r="CT91" s="4" t="n">
        <v>0.7289</v>
      </c>
      <c r="CU91" s="4" t="s">
        <v>334</v>
      </c>
      <c r="CV91" s="169" t="n">
        <v>44995</v>
      </c>
      <c r="CW91" s="4" t="s">
        <v>327</v>
      </c>
      <c r="CX91" s="4" t="s">
        <v>350</v>
      </c>
      <c r="CY91" s="4" t="n">
        <v>35</v>
      </c>
      <c r="CZ91" s="4" t="n">
        <v>134</v>
      </c>
      <c r="DB91" s="4" t="s">
        <v>353</v>
      </c>
      <c r="DC91" s="4" t="s">
        <v>515</v>
      </c>
      <c r="DD91" s="4" t="s">
        <v>360</v>
      </c>
      <c r="DF91" s="4" t="n">
        <v>0.164</v>
      </c>
      <c r="DG91" s="4" t="n">
        <v>0.839</v>
      </c>
      <c r="DH91" s="4" t="n">
        <v>78.305</v>
      </c>
      <c r="DI91" s="4" t="n">
        <v>11.796</v>
      </c>
      <c r="DJ91" s="4" t="n">
        <v>5.3</v>
      </c>
      <c r="DK91" s="4" t="n">
        <v>0.812</v>
      </c>
      <c r="DL91" s="4" t="n">
        <v>1.743</v>
      </c>
      <c r="DM91" s="4" t="n">
        <v>0.386</v>
      </c>
      <c r="DN91" s="4" t="n">
        <v>0.4</v>
      </c>
      <c r="DO91" s="4" t="n">
        <v>0.255</v>
      </c>
      <c r="EQ91" s="4" t="s">
        <v>335</v>
      </c>
    </row>
    <row r="92" customFormat="false" ht="15.75" hidden="false" customHeight="true" outlineLevel="0" collapsed="false">
      <c r="A92" s="169" t="n">
        <v>45047.375</v>
      </c>
      <c r="B92" s="169" t="n">
        <v>45078.375</v>
      </c>
      <c r="C92" s="4" t="s">
        <v>516</v>
      </c>
      <c r="D92" s="4" t="s">
        <v>517</v>
      </c>
      <c r="E92" s="4" t="n">
        <v>19289.82</v>
      </c>
      <c r="F92" s="4" t="n">
        <v>25694.05</v>
      </c>
      <c r="G92" s="4" t="n">
        <v>43.8466170231522</v>
      </c>
      <c r="I92" s="4" t="n">
        <v>166.804182479373</v>
      </c>
      <c r="J92" s="4" t="n">
        <v>42.2946903994656</v>
      </c>
      <c r="K92" s="4" t="n">
        <v>44640</v>
      </c>
      <c r="L92" s="4" t="n">
        <v>3.79508793020648</v>
      </c>
      <c r="N92" s="4" t="n">
        <v>1.02614497722587</v>
      </c>
      <c r="P92" s="4" t="s">
        <v>324</v>
      </c>
      <c r="Q92" s="4" t="s">
        <v>325</v>
      </c>
      <c r="T92" s="4" t="s">
        <v>326</v>
      </c>
      <c r="U92" s="4" t="s">
        <v>516</v>
      </c>
      <c r="V92" s="170" t="n">
        <v>44315</v>
      </c>
      <c r="W92" s="4" t="n">
        <v>1</v>
      </c>
      <c r="X92" s="4" t="n">
        <v>9</v>
      </c>
      <c r="AA92" s="4" t="n">
        <v>1.125</v>
      </c>
      <c r="AB92" s="4" t="n">
        <v>68</v>
      </c>
      <c r="AC92" s="4" t="s">
        <v>327</v>
      </c>
      <c r="AD92" s="4" t="n">
        <v>2.90000009536743</v>
      </c>
      <c r="AE92" s="4" t="n">
        <v>68</v>
      </c>
      <c r="AF92" s="4" t="s">
        <v>328</v>
      </c>
      <c r="AG92" s="4" t="s">
        <v>329</v>
      </c>
      <c r="AH92" s="4" t="s">
        <v>330</v>
      </c>
      <c r="AI92" s="4" t="s">
        <v>331</v>
      </c>
      <c r="AR92" s="4" t="s">
        <v>332</v>
      </c>
      <c r="AS92" s="4" t="s">
        <v>332</v>
      </c>
      <c r="AT92" s="4" t="s">
        <v>332</v>
      </c>
      <c r="AU92" s="4" t="s">
        <v>333</v>
      </c>
      <c r="AV92" s="4" t="n">
        <v>2047</v>
      </c>
      <c r="AW92" s="4" t="n">
        <v>0</v>
      </c>
      <c r="AX92" s="4" t="n">
        <v>400</v>
      </c>
      <c r="AY92" s="4" t="n">
        <v>0</v>
      </c>
      <c r="BB92" s="4" t="n">
        <v>2047.96875</v>
      </c>
      <c r="BC92" s="4" t="n">
        <v>0</v>
      </c>
      <c r="BD92" s="4" t="n">
        <v>263.200012207031</v>
      </c>
      <c r="BE92" s="4" t="n">
        <v>13.1999998092651</v>
      </c>
      <c r="BH92" s="4" t="n">
        <v>420</v>
      </c>
      <c r="BI92" s="4" t="n">
        <v>0</v>
      </c>
      <c r="BN92" s="4" t="n">
        <v>0.5</v>
      </c>
      <c r="BO92" s="4" t="n">
        <v>-3</v>
      </c>
      <c r="BP92" s="4" t="n">
        <v>14.6499996185303</v>
      </c>
      <c r="BQ92" s="4" t="n">
        <v>60</v>
      </c>
      <c r="BR92" s="4" t="n">
        <v>13.1999998092651</v>
      </c>
      <c r="BV92" s="4" t="n">
        <v>1</v>
      </c>
      <c r="BW92" s="4" t="s">
        <v>334</v>
      </c>
      <c r="BX92" s="4" t="n">
        <v>60</v>
      </c>
      <c r="BY92" s="4" t="s">
        <v>332</v>
      </c>
      <c r="BZ92" s="4" t="s">
        <v>332</v>
      </c>
      <c r="CA92" s="4" t="s">
        <v>332</v>
      </c>
      <c r="CB92" s="4" t="s">
        <v>333</v>
      </c>
      <c r="CC92" s="4" t="s">
        <v>332</v>
      </c>
      <c r="CD92" s="4" t="s">
        <v>332</v>
      </c>
      <c r="CE92" s="4" t="s">
        <v>332</v>
      </c>
      <c r="CF92" s="4" t="s">
        <v>333</v>
      </c>
      <c r="CK92" s="169" t="n">
        <v>43531.5672222222</v>
      </c>
      <c r="CQ92" s="4" t="n">
        <v>1332</v>
      </c>
      <c r="CR92" s="4" t="n">
        <v>1.3</v>
      </c>
      <c r="CS92" s="21" t="n">
        <v>6.9E-006</v>
      </c>
      <c r="CT92" s="4" t="n">
        <v>0.7816</v>
      </c>
      <c r="CU92" s="4" t="s">
        <v>334</v>
      </c>
      <c r="CV92" s="169" t="n">
        <v>45059</v>
      </c>
      <c r="CW92" s="4" t="s">
        <v>327</v>
      </c>
      <c r="CX92" s="4" t="s">
        <v>350</v>
      </c>
      <c r="CY92" s="4" t="n">
        <v>50</v>
      </c>
      <c r="CZ92" s="4" t="n">
        <v>170</v>
      </c>
      <c r="DB92" s="4" t="s">
        <v>341</v>
      </c>
      <c r="DC92" s="4" t="s">
        <v>518</v>
      </c>
      <c r="DD92" s="4" t="s">
        <v>380</v>
      </c>
      <c r="DF92" s="4" t="n">
        <v>0.435</v>
      </c>
      <c r="DG92" s="4" t="n">
        <v>1.102</v>
      </c>
      <c r="DH92" s="4" t="n">
        <v>72.548</v>
      </c>
      <c r="DI92" s="4" t="n">
        <v>12.995</v>
      </c>
      <c r="DJ92" s="4" t="n">
        <v>8.37</v>
      </c>
      <c r="DK92" s="4" t="n">
        <v>0.903</v>
      </c>
      <c r="DL92" s="4" t="n">
        <v>2.665</v>
      </c>
      <c r="DM92" s="4" t="n">
        <v>0.423</v>
      </c>
      <c r="DN92" s="4" t="n">
        <v>0.408</v>
      </c>
      <c r="DO92" s="4" t="n">
        <v>0.151</v>
      </c>
      <c r="EQ92" s="4" t="s">
        <v>335</v>
      </c>
      <c r="FR92" s="4" t="s">
        <v>417</v>
      </c>
    </row>
    <row r="93" customFormat="false" ht="15.75" hidden="false" customHeight="true" outlineLevel="0" collapsed="false">
      <c r="A93" s="169" t="n">
        <v>45047.4166666667</v>
      </c>
      <c r="B93" s="169" t="n">
        <v>45078.4166666667</v>
      </c>
      <c r="C93" s="4" t="s">
        <v>519</v>
      </c>
      <c r="D93" s="4" t="s">
        <v>520</v>
      </c>
      <c r="E93" s="4" t="n">
        <v>0</v>
      </c>
      <c r="F93" s="4" t="n">
        <v>0</v>
      </c>
      <c r="G93" s="4" t="n">
        <v>0</v>
      </c>
      <c r="I93" s="4" t="n">
        <v>-1.29618432685252</v>
      </c>
      <c r="J93" s="4" t="n">
        <v>79.9532095847591</v>
      </c>
      <c r="K93" s="4" t="n">
        <v>0</v>
      </c>
      <c r="L93" s="4" t="n">
        <v>0</v>
      </c>
      <c r="P93" s="4" t="s">
        <v>367</v>
      </c>
      <c r="Q93" s="4" t="s">
        <v>325</v>
      </c>
      <c r="T93" s="4" t="s">
        <v>326</v>
      </c>
      <c r="U93" s="4" t="s">
        <v>519</v>
      </c>
      <c r="V93" s="170" t="n">
        <v>43969</v>
      </c>
      <c r="W93" s="4" t="n">
        <v>1</v>
      </c>
      <c r="X93" s="4" t="n">
        <v>9</v>
      </c>
      <c r="AA93" s="4" t="n">
        <v>0.625</v>
      </c>
      <c r="AB93" s="4" t="n">
        <v>68</v>
      </c>
      <c r="AC93" s="4" t="s">
        <v>327</v>
      </c>
      <c r="AD93" s="4" t="n">
        <v>2.06699991226196</v>
      </c>
      <c r="AE93" s="4" t="n">
        <v>68</v>
      </c>
      <c r="AF93" s="4" t="s">
        <v>328</v>
      </c>
      <c r="AG93" s="4" t="s">
        <v>368</v>
      </c>
      <c r="AH93" s="4" t="s">
        <v>330</v>
      </c>
      <c r="AI93" s="4" t="s">
        <v>331</v>
      </c>
      <c r="AR93" s="4" t="s">
        <v>332</v>
      </c>
      <c r="AS93" s="4" t="s">
        <v>332</v>
      </c>
      <c r="AT93" s="4" t="s">
        <v>332</v>
      </c>
      <c r="AU93" s="4" t="s">
        <v>333</v>
      </c>
      <c r="AV93" s="4" t="n">
        <v>250</v>
      </c>
      <c r="AW93" s="4" t="n">
        <v>0</v>
      </c>
      <c r="AX93" s="4" t="n">
        <v>249.999984741211</v>
      </c>
      <c r="AY93" s="4" t="n">
        <v>0</v>
      </c>
      <c r="BB93" s="4" t="n">
        <v>800.644714355469</v>
      </c>
      <c r="BC93" s="4" t="n">
        <v>0</v>
      </c>
      <c r="BD93" s="4" t="n">
        <v>1499.99987792969</v>
      </c>
      <c r="BE93" s="4" t="n">
        <v>0</v>
      </c>
      <c r="BH93" s="4" t="n">
        <v>800.599975585937</v>
      </c>
      <c r="BI93" s="4" t="n">
        <v>-459.399993896484</v>
      </c>
      <c r="BJ93" s="4" t="n">
        <v>140</v>
      </c>
      <c r="BK93" s="4" t="n">
        <v>32</v>
      </c>
      <c r="BN93" s="4" t="n">
        <v>0.5</v>
      </c>
      <c r="BO93" s="4" t="n">
        <v>-3</v>
      </c>
      <c r="BP93" s="4" t="n">
        <v>14.65</v>
      </c>
      <c r="BQ93" s="4" t="n">
        <v>60</v>
      </c>
      <c r="BR93" s="4" t="n">
        <v>13.2</v>
      </c>
      <c r="BV93" s="4" t="n">
        <v>1</v>
      </c>
      <c r="BW93" s="4" t="s">
        <v>334</v>
      </c>
      <c r="BX93" s="4" t="n">
        <v>60</v>
      </c>
      <c r="BY93" s="4" t="s">
        <v>333</v>
      </c>
      <c r="BZ93" s="4" t="s">
        <v>333</v>
      </c>
      <c r="CA93" s="4" t="s">
        <v>333</v>
      </c>
      <c r="CB93" s="4" t="s">
        <v>333</v>
      </c>
      <c r="CC93" s="4" t="s">
        <v>333</v>
      </c>
      <c r="CD93" s="4" t="s">
        <v>333</v>
      </c>
      <c r="CE93" s="4" t="s">
        <v>332</v>
      </c>
      <c r="CF93" s="4" t="s">
        <v>333</v>
      </c>
      <c r="CK93" s="169" t="n">
        <v>43531.5672222222</v>
      </c>
      <c r="CN93" s="4" t="n">
        <v>500</v>
      </c>
      <c r="CO93" s="4" t="n">
        <v>35</v>
      </c>
      <c r="CQ93" s="4" t="n">
        <v>1182</v>
      </c>
      <c r="CR93" s="4" t="n">
        <v>1.29999995231628</v>
      </c>
      <c r="CS93" s="21" t="n">
        <v>6.89999978931155E-006</v>
      </c>
      <c r="CT93" s="4" t="n">
        <v>0.675499975681305</v>
      </c>
      <c r="CU93" s="4" t="s">
        <v>334</v>
      </c>
      <c r="CV93" s="169"/>
      <c r="DF93" s="4" t="n">
        <v>0.216999992728233</v>
      </c>
      <c r="DG93" s="4" t="n">
        <v>0.533999979496002</v>
      </c>
      <c r="DH93" s="4" t="n">
        <v>85.2399978637695</v>
      </c>
      <c r="DI93" s="4" t="n">
        <v>7.75600004196167</v>
      </c>
      <c r="DJ93" s="4" t="n">
        <v>3.75300002098083</v>
      </c>
      <c r="DK93" s="4" t="n">
        <v>0.503000020980835</v>
      </c>
      <c r="DL93" s="4" t="n">
        <v>1.21899998188019</v>
      </c>
      <c r="DM93" s="4" t="n">
        <v>0.275999993085861</v>
      </c>
      <c r="DN93" s="4" t="n">
        <v>0.296000003814697</v>
      </c>
      <c r="DO93" s="4" t="n">
        <v>0.206000000238419</v>
      </c>
      <c r="DQ93" s="4" t="n">
        <v>0</v>
      </c>
      <c r="DR93" s="4" t="n">
        <v>0</v>
      </c>
      <c r="DS93" s="4" t="n">
        <v>0</v>
      </c>
      <c r="DT93" s="4" t="n">
        <v>0</v>
      </c>
      <c r="DU93" s="4" t="n">
        <v>0</v>
      </c>
      <c r="DV93" s="4" t="n">
        <v>0</v>
      </c>
      <c r="DW93" s="4" t="n">
        <v>0</v>
      </c>
      <c r="DX93" s="4" t="n">
        <v>0</v>
      </c>
      <c r="DY93" s="4" t="n">
        <v>0</v>
      </c>
      <c r="DZ93" s="4" t="n">
        <v>0</v>
      </c>
      <c r="EA93" s="4" t="n">
        <v>0</v>
      </c>
      <c r="EQ93" s="4" t="s">
        <v>335</v>
      </c>
    </row>
    <row r="94" customFormat="false" ht="15.75" hidden="false" customHeight="true" outlineLevel="0" collapsed="false">
      <c r="A94" s="169" t="n">
        <v>45047.4166666667</v>
      </c>
      <c r="B94" s="169" t="n">
        <v>45078.4166666667</v>
      </c>
      <c r="C94" s="4" t="s">
        <v>521</v>
      </c>
      <c r="D94" s="4" t="s">
        <v>522</v>
      </c>
      <c r="E94" s="4" t="n">
        <v>3684.48</v>
      </c>
      <c r="F94" s="4" t="n">
        <v>4454.54</v>
      </c>
      <c r="G94" s="4" t="n">
        <v>17.2977943323301</v>
      </c>
      <c r="I94" s="4" t="n">
        <v>155.816678558688</v>
      </c>
      <c r="J94" s="4" t="n">
        <v>60.6562046185497</v>
      </c>
      <c r="K94" s="4" t="n">
        <v>43940.5166666667</v>
      </c>
      <c r="L94" s="4" t="n">
        <v>51.7927415197757</v>
      </c>
      <c r="N94" s="4" t="n">
        <v>1.01599266517432</v>
      </c>
      <c r="P94" s="4" t="s">
        <v>367</v>
      </c>
      <c r="Q94" s="4" t="s">
        <v>325</v>
      </c>
      <c r="T94" s="4" t="s">
        <v>326</v>
      </c>
      <c r="U94" s="4" t="s">
        <v>521</v>
      </c>
      <c r="V94" s="170" t="n">
        <v>44089</v>
      </c>
      <c r="W94" s="4" t="n">
        <v>1</v>
      </c>
      <c r="X94" s="4" t="n">
        <v>9</v>
      </c>
      <c r="AA94" s="4" t="n">
        <v>0.625</v>
      </c>
      <c r="AB94" s="4" t="n">
        <v>68</v>
      </c>
      <c r="AC94" s="4" t="s">
        <v>327</v>
      </c>
      <c r="AD94" s="4" t="n">
        <v>2.06900000572205</v>
      </c>
      <c r="AE94" s="4" t="n">
        <v>68</v>
      </c>
      <c r="AF94" s="4" t="s">
        <v>328</v>
      </c>
      <c r="AG94" s="4" t="s">
        <v>329</v>
      </c>
      <c r="AH94" s="4" t="s">
        <v>330</v>
      </c>
      <c r="AI94" s="4" t="s">
        <v>331</v>
      </c>
      <c r="AR94" s="4" t="s">
        <v>332</v>
      </c>
      <c r="AS94" s="4" t="s">
        <v>332</v>
      </c>
      <c r="AT94" s="4" t="s">
        <v>332</v>
      </c>
      <c r="AU94" s="4" t="s">
        <v>333</v>
      </c>
      <c r="AV94" s="4" t="n">
        <v>250</v>
      </c>
      <c r="AW94" s="4" t="n">
        <v>0</v>
      </c>
      <c r="AX94" s="4" t="n">
        <v>249.999984741211</v>
      </c>
      <c r="AY94" s="4" t="n">
        <v>0</v>
      </c>
      <c r="BB94" s="4" t="n">
        <v>800.644714355469</v>
      </c>
      <c r="BC94" s="4" t="n">
        <v>0</v>
      </c>
      <c r="BD94" s="4" t="n">
        <v>250</v>
      </c>
      <c r="BE94" s="4" t="n">
        <v>0</v>
      </c>
      <c r="BH94" s="4" t="n">
        <v>800.599975585937</v>
      </c>
      <c r="BI94" s="4" t="n">
        <v>-459.399993896484</v>
      </c>
      <c r="BJ94" s="4" t="n">
        <v>140</v>
      </c>
      <c r="BK94" s="4" t="n">
        <v>32</v>
      </c>
      <c r="BN94" s="4" t="n">
        <v>0.5</v>
      </c>
      <c r="BO94" s="4" t="n">
        <v>-3</v>
      </c>
      <c r="BP94" s="4" t="n">
        <v>14.6499996185303</v>
      </c>
      <c r="BQ94" s="4" t="n">
        <v>60</v>
      </c>
      <c r="BR94" s="4" t="n">
        <v>13.1999998092651</v>
      </c>
      <c r="BV94" s="4" t="n">
        <v>1</v>
      </c>
      <c r="BW94" s="4" t="s">
        <v>334</v>
      </c>
      <c r="BX94" s="4" t="n">
        <v>60</v>
      </c>
      <c r="BY94" s="4" t="s">
        <v>333</v>
      </c>
      <c r="BZ94" s="4" t="s">
        <v>333</v>
      </c>
      <c r="CA94" s="4" t="s">
        <v>333</v>
      </c>
      <c r="CB94" s="4" t="s">
        <v>333</v>
      </c>
      <c r="CC94" s="4" t="s">
        <v>333</v>
      </c>
      <c r="CD94" s="4" t="s">
        <v>333</v>
      </c>
      <c r="CE94" s="4" t="s">
        <v>332</v>
      </c>
      <c r="CF94" s="4" t="s">
        <v>333</v>
      </c>
      <c r="CK94" s="169" t="n">
        <v>43531.5672222222</v>
      </c>
      <c r="CN94" s="4" t="n">
        <v>500</v>
      </c>
      <c r="CO94" s="4" t="n">
        <v>35</v>
      </c>
      <c r="CQ94" s="4" t="n">
        <v>1209</v>
      </c>
      <c r="CR94" s="4" t="n">
        <v>1.3</v>
      </c>
      <c r="CS94" s="21" t="n">
        <v>6.9E-006</v>
      </c>
      <c r="CT94" s="4" t="n">
        <v>0.6949</v>
      </c>
      <c r="CU94" s="4" t="s">
        <v>334</v>
      </c>
      <c r="CV94" s="169" t="n">
        <v>45052</v>
      </c>
      <c r="CW94" s="4" t="s">
        <v>327</v>
      </c>
      <c r="CX94" s="4" t="s">
        <v>340</v>
      </c>
      <c r="CY94" s="4" t="n">
        <v>82</v>
      </c>
      <c r="CZ94" s="4" t="n">
        <v>154</v>
      </c>
      <c r="DB94" s="4" t="s">
        <v>341</v>
      </c>
      <c r="DC94" s="4" t="s">
        <v>523</v>
      </c>
      <c r="DD94" s="4" t="s">
        <v>360</v>
      </c>
      <c r="DF94" s="4" t="n">
        <v>0.318</v>
      </c>
      <c r="DG94" s="4" t="n">
        <v>0.55</v>
      </c>
      <c r="DH94" s="4" t="n">
        <v>84.27</v>
      </c>
      <c r="DI94" s="4" t="n">
        <v>7.86</v>
      </c>
      <c r="DJ94" s="4" t="n">
        <v>3.738</v>
      </c>
      <c r="DK94" s="4" t="n">
        <v>0.516</v>
      </c>
      <c r="DL94" s="4" t="n">
        <v>1.299</v>
      </c>
      <c r="DM94" s="4" t="n">
        <v>0.349</v>
      </c>
      <c r="DN94" s="4" t="n">
        <v>0.422</v>
      </c>
      <c r="DO94" s="4" t="n">
        <v>0.678</v>
      </c>
      <c r="EQ94" s="4" t="s">
        <v>335</v>
      </c>
    </row>
    <row r="95" customFormat="false" ht="15.75" hidden="false" customHeight="true" outlineLevel="0" collapsed="false">
      <c r="A95" s="169" t="n">
        <v>45047.4166666667</v>
      </c>
      <c r="B95" s="169" t="n">
        <v>45078.4166666667</v>
      </c>
      <c r="C95" s="4" t="s">
        <v>524</v>
      </c>
      <c r="D95" s="4" t="s">
        <v>525</v>
      </c>
      <c r="E95" s="4" t="n">
        <v>25831.73</v>
      </c>
      <c r="F95" s="4" t="n">
        <v>29964.8</v>
      </c>
      <c r="G95" s="4" t="n">
        <v>454.921910668525</v>
      </c>
      <c r="I95" s="4" t="n">
        <v>149.626295975786</v>
      </c>
      <c r="J95" s="4" t="n">
        <v>74.2187863971503</v>
      </c>
      <c r="K95" s="4" t="n">
        <v>44624.2666666667</v>
      </c>
      <c r="L95" s="4" t="n">
        <v>260.094086572529</v>
      </c>
      <c r="N95" s="4" t="n">
        <v>1.01262791375757</v>
      </c>
      <c r="P95" s="4" t="s">
        <v>367</v>
      </c>
      <c r="Q95" s="4" t="s">
        <v>325</v>
      </c>
      <c r="T95" s="4" t="s">
        <v>326</v>
      </c>
      <c r="U95" s="4" t="s">
        <v>524</v>
      </c>
      <c r="V95" s="170" t="n">
        <v>44468</v>
      </c>
      <c r="W95" s="4" t="n">
        <v>1</v>
      </c>
      <c r="X95" s="4" t="n">
        <v>9</v>
      </c>
      <c r="AA95" s="4" t="n">
        <v>0.75</v>
      </c>
      <c r="AB95" s="4" t="n">
        <v>68</v>
      </c>
      <c r="AC95" s="4" t="s">
        <v>327</v>
      </c>
      <c r="AD95" s="4" t="n">
        <v>3.06900000572205</v>
      </c>
      <c r="AE95" s="4" t="n">
        <v>68</v>
      </c>
      <c r="AF95" s="4" t="s">
        <v>328</v>
      </c>
      <c r="AG95" s="4" t="s">
        <v>329</v>
      </c>
      <c r="AH95" s="4" t="s">
        <v>330</v>
      </c>
      <c r="AI95" s="4" t="s">
        <v>331</v>
      </c>
      <c r="AR95" s="4" t="s">
        <v>332</v>
      </c>
      <c r="AS95" s="4" t="s">
        <v>332</v>
      </c>
      <c r="AT95" s="4" t="s">
        <v>332</v>
      </c>
      <c r="AU95" s="4" t="s">
        <v>333</v>
      </c>
      <c r="AV95" s="4" t="n">
        <v>250</v>
      </c>
      <c r="AW95" s="4" t="n">
        <v>0</v>
      </c>
      <c r="AX95" s="4" t="n">
        <v>399.999969482422</v>
      </c>
      <c r="AY95" s="4" t="n">
        <v>0</v>
      </c>
      <c r="BB95" s="4" t="n">
        <v>800.644714355469</v>
      </c>
      <c r="BC95" s="4" t="n">
        <v>0</v>
      </c>
      <c r="BD95" s="4" t="n">
        <v>3625.99975585938</v>
      </c>
      <c r="BE95" s="4" t="n">
        <v>1.75</v>
      </c>
      <c r="BH95" s="4" t="n">
        <v>800.599975585937</v>
      </c>
      <c r="BI95" s="4" t="n">
        <v>-459.399993896484</v>
      </c>
      <c r="BJ95" s="4" t="n">
        <v>140</v>
      </c>
      <c r="BK95" s="4" t="n">
        <v>32</v>
      </c>
      <c r="BN95" s="4" t="n">
        <v>0.5</v>
      </c>
      <c r="BO95" s="4" t="n">
        <v>-3</v>
      </c>
      <c r="BP95" s="4" t="n">
        <v>14.6499996185303</v>
      </c>
      <c r="BQ95" s="4" t="n">
        <v>60</v>
      </c>
      <c r="BR95" s="4" t="n">
        <v>13.1999998092651</v>
      </c>
      <c r="BV95" s="4" t="n">
        <v>1</v>
      </c>
      <c r="BW95" s="4" t="s">
        <v>334</v>
      </c>
      <c r="BX95" s="4" t="n">
        <v>60</v>
      </c>
      <c r="BY95" s="4" t="s">
        <v>333</v>
      </c>
      <c r="BZ95" s="4" t="s">
        <v>333</v>
      </c>
      <c r="CA95" s="4" t="s">
        <v>333</v>
      </c>
      <c r="CB95" s="4" t="s">
        <v>333</v>
      </c>
      <c r="CC95" s="4" t="s">
        <v>333</v>
      </c>
      <c r="CD95" s="4" t="s">
        <v>333</v>
      </c>
      <c r="CE95" s="4" t="s">
        <v>332</v>
      </c>
      <c r="CF95" s="4" t="s">
        <v>333</v>
      </c>
      <c r="CK95" s="169" t="n">
        <v>43531.5672222222</v>
      </c>
      <c r="CL95" s="169"/>
      <c r="CN95" s="4" t="n">
        <v>500</v>
      </c>
      <c r="CO95" s="4" t="n">
        <v>35</v>
      </c>
      <c r="CQ95" s="4" t="n">
        <v>1160</v>
      </c>
      <c r="CR95" s="4" t="n">
        <v>1.3</v>
      </c>
      <c r="CS95" s="21" t="n">
        <v>6.9E-006</v>
      </c>
      <c r="CT95" s="4" t="n">
        <v>0.677</v>
      </c>
      <c r="CU95" s="4" t="s">
        <v>334</v>
      </c>
      <c r="CV95" s="169" t="n">
        <v>45011</v>
      </c>
      <c r="CW95" s="4" t="s">
        <v>327</v>
      </c>
      <c r="CX95" s="4" t="s">
        <v>350</v>
      </c>
      <c r="CY95" s="4" t="n">
        <v>63</v>
      </c>
      <c r="CZ95" s="4" t="n">
        <v>144</v>
      </c>
      <c r="DB95" s="4" t="s">
        <v>386</v>
      </c>
      <c r="DC95" s="4" t="s">
        <v>526</v>
      </c>
      <c r="DD95" s="4" t="s">
        <v>380</v>
      </c>
      <c r="DF95" s="4" t="n">
        <v>0.168</v>
      </c>
      <c r="DG95" s="4" t="n">
        <v>2.117</v>
      </c>
      <c r="DH95" s="4" t="n">
        <v>81.79</v>
      </c>
      <c r="DI95" s="4" t="n">
        <v>10.687</v>
      </c>
      <c r="DJ95" s="4" t="n">
        <v>3.797</v>
      </c>
      <c r="DK95" s="4" t="n">
        <v>0.438</v>
      </c>
      <c r="DL95" s="4" t="n">
        <v>0.766</v>
      </c>
      <c r="DM95" s="4" t="n">
        <v>0.103</v>
      </c>
      <c r="DN95" s="4" t="n">
        <v>0.09</v>
      </c>
      <c r="DO95" s="4" t="n">
        <v>0.044</v>
      </c>
      <c r="EQ95" s="4" t="s">
        <v>335</v>
      </c>
    </row>
    <row r="96" customFormat="false" ht="15.75" hidden="false" customHeight="true" outlineLevel="0" collapsed="false">
      <c r="A96" s="169" t="n">
        <v>45047.375</v>
      </c>
      <c r="B96" s="169" t="n">
        <v>45078.375</v>
      </c>
      <c r="C96" s="4" t="s">
        <v>527</v>
      </c>
      <c r="D96" s="4" t="s">
        <v>528</v>
      </c>
      <c r="E96" s="4" t="n">
        <v>15274.83</v>
      </c>
      <c r="F96" s="4" t="n">
        <v>19337.93</v>
      </c>
      <c r="G96" s="4" t="n">
        <v>15.4841669113689</v>
      </c>
      <c r="I96" s="4" t="n">
        <v>140.257032506281</v>
      </c>
      <c r="J96" s="4" t="n">
        <v>34.821417685294</v>
      </c>
      <c r="K96" s="4" t="n">
        <v>44602</v>
      </c>
      <c r="L96" s="4" t="n">
        <v>2.04808533935637</v>
      </c>
      <c r="N96" s="4" t="n">
        <v>1.01950750789532</v>
      </c>
      <c r="P96" s="4" t="s">
        <v>324</v>
      </c>
      <c r="Q96" s="4" t="s">
        <v>325</v>
      </c>
      <c r="T96" s="4" t="s">
        <v>326</v>
      </c>
      <c r="U96" s="4" t="s">
        <v>527</v>
      </c>
      <c r="V96" s="170" t="n">
        <v>44636</v>
      </c>
      <c r="W96" s="4" t="n">
        <v>1</v>
      </c>
      <c r="X96" s="4" t="n">
        <v>9</v>
      </c>
      <c r="AA96" s="4" t="n">
        <v>1.375</v>
      </c>
      <c r="AB96" s="4" t="n">
        <v>68</v>
      </c>
      <c r="AC96" s="4" t="s">
        <v>327</v>
      </c>
      <c r="AD96" s="4" t="n">
        <v>3.06800007820129</v>
      </c>
      <c r="AE96" s="4" t="n">
        <v>68</v>
      </c>
      <c r="AF96" s="4" t="s">
        <v>328</v>
      </c>
      <c r="AG96" s="4" t="s">
        <v>329</v>
      </c>
      <c r="AH96" s="4" t="s">
        <v>330</v>
      </c>
      <c r="AI96" s="4" t="s">
        <v>331</v>
      </c>
      <c r="AR96" s="4" t="s">
        <v>332</v>
      </c>
      <c r="AS96" s="4" t="s">
        <v>332</v>
      </c>
      <c r="AT96" s="4" t="s">
        <v>332</v>
      </c>
      <c r="AU96" s="4" t="s">
        <v>333</v>
      </c>
      <c r="AV96" s="4" t="n">
        <v>2047</v>
      </c>
      <c r="AW96" s="4" t="n">
        <v>0</v>
      </c>
      <c r="AX96" s="4" t="n">
        <v>250</v>
      </c>
      <c r="AY96" s="4" t="n">
        <v>0</v>
      </c>
      <c r="BB96" s="4" t="n">
        <v>2047.96875</v>
      </c>
      <c r="BC96" s="4" t="n">
        <v>0</v>
      </c>
      <c r="BD96" s="4" t="n">
        <v>263.200012207031</v>
      </c>
      <c r="BE96" s="4" t="n">
        <v>13.1999998092651</v>
      </c>
      <c r="BH96" s="4" t="n">
        <v>420</v>
      </c>
      <c r="BI96" s="4" t="n">
        <v>0</v>
      </c>
      <c r="BN96" s="4" t="n">
        <v>0</v>
      </c>
      <c r="BO96" s="4" t="n">
        <v>-3</v>
      </c>
      <c r="BP96" s="4" t="n">
        <v>14.65</v>
      </c>
      <c r="BQ96" s="4" t="n">
        <v>60</v>
      </c>
      <c r="BR96" s="4" t="n">
        <v>13.1999998092651</v>
      </c>
      <c r="BV96" s="4" t="n">
        <v>1</v>
      </c>
      <c r="BW96" s="4" t="s">
        <v>334</v>
      </c>
      <c r="BX96" s="4" t="n">
        <v>60</v>
      </c>
      <c r="BY96" s="4" t="s">
        <v>332</v>
      </c>
      <c r="BZ96" s="4" t="s">
        <v>332</v>
      </c>
      <c r="CA96" s="4" t="s">
        <v>332</v>
      </c>
      <c r="CB96" s="4" t="s">
        <v>333</v>
      </c>
      <c r="CC96" s="4" t="s">
        <v>332</v>
      </c>
      <c r="CD96" s="4" t="s">
        <v>332</v>
      </c>
      <c r="CF96" s="4" t="s">
        <v>333</v>
      </c>
      <c r="CK96" s="169" t="n">
        <v>44807.4108680556</v>
      </c>
      <c r="CL96" s="169" t="n">
        <v>44807.4108680556</v>
      </c>
      <c r="CQ96" s="4" t="n">
        <v>1266</v>
      </c>
      <c r="CR96" s="4" t="n">
        <v>1.3</v>
      </c>
      <c r="CS96" s="21" t="n">
        <v>6.9E-006</v>
      </c>
      <c r="CT96" s="4" t="n">
        <v>0.7312</v>
      </c>
      <c r="CU96" s="4" t="s">
        <v>334</v>
      </c>
      <c r="CV96" s="169" t="n">
        <v>45071</v>
      </c>
      <c r="CW96" s="4" t="s">
        <v>327</v>
      </c>
      <c r="CX96" s="4" t="s">
        <v>340</v>
      </c>
      <c r="CY96" s="4" t="n">
        <v>98</v>
      </c>
      <c r="CZ96" s="4" t="n">
        <v>1136</v>
      </c>
      <c r="DB96" s="4" t="s">
        <v>363</v>
      </c>
      <c r="DC96" s="4" t="s">
        <v>529</v>
      </c>
      <c r="DD96" s="4" t="s">
        <v>365</v>
      </c>
      <c r="DF96" s="4" t="n">
        <v>0.121</v>
      </c>
      <c r="DG96" s="4" t="n">
        <v>0.839</v>
      </c>
      <c r="DH96" s="4" t="n">
        <v>79.667</v>
      </c>
      <c r="DI96" s="4" t="n">
        <v>10.619</v>
      </c>
      <c r="DJ96" s="4" t="n">
        <v>4.586</v>
      </c>
      <c r="DK96" s="4" t="n">
        <v>0.744</v>
      </c>
      <c r="DL96" s="4" t="n">
        <v>1.639</v>
      </c>
      <c r="DM96" s="4" t="n">
        <v>0.501</v>
      </c>
      <c r="DN96" s="4" t="n">
        <v>0.572</v>
      </c>
      <c r="DO96" s="4" t="n">
        <v>0.712</v>
      </c>
      <c r="EQ96" s="4" t="s">
        <v>335</v>
      </c>
      <c r="FR96" s="4" t="s">
        <v>476</v>
      </c>
    </row>
    <row r="97" customFormat="false" ht="15.75" hidden="false" customHeight="true" outlineLevel="0" collapsed="false">
      <c r="A97" s="169" t="n">
        <v>45047.375</v>
      </c>
      <c r="B97" s="169" t="n">
        <v>45078.375</v>
      </c>
      <c r="C97" s="4" t="s">
        <v>530</v>
      </c>
      <c r="D97" s="4" t="s">
        <v>531</v>
      </c>
      <c r="E97" s="4" t="n">
        <v>31266.74</v>
      </c>
      <c r="F97" s="4" t="n">
        <v>39396.09</v>
      </c>
      <c r="G97" s="4" t="n">
        <v>82.4179360964756</v>
      </c>
      <c r="I97" s="4" t="n">
        <v>157.454098355904</v>
      </c>
      <c r="J97" s="4" t="n">
        <v>36.7600567715396</v>
      </c>
      <c r="K97" s="4" t="n">
        <v>44640</v>
      </c>
      <c r="L97" s="21" t="n">
        <v>4.96309925473859</v>
      </c>
      <c r="N97" s="4" t="n">
        <v>1.02179001873338</v>
      </c>
      <c r="P97" s="4" t="s">
        <v>324</v>
      </c>
      <c r="Q97" s="4" t="s">
        <v>325</v>
      </c>
      <c r="T97" s="4" t="s">
        <v>326</v>
      </c>
      <c r="U97" s="4" t="s">
        <v>530</v>
      </c>
      <c r="V97" s="170" t="n">
        <v>44769</v>
      </c>
      <c r="W97" s="4" t="n">
        <v>1</v>
      </c>
      <c r="X97" s="4" t="n">
        <v>9</v>
      </c>
      <c r="AA97" s="4" t="n">
        <v>1.25</v>
      </c>
      <c r="AB97" s="4" t="n">
        <v>68</v>
      </c>
      <c r="AC97" s="4" t="s">
        <v>327</v>
      </c>
      <c r="AD97" s="4" t="n">
        <v>3.06800007820129</v>
      </c>
      <c r="AE97" s="4" t="n">
        <v>68</v>
      </c>
      <c r="AF97" s="4" t="s">
        <v>328</v>
      </c>
      <c r="AG97" s="4" t="s">
        <v>329</v>
      </c>
      <c r="AH97" s="4" t="s">
        <v>330</v>
      </c>
      <c r="AI97" s="4" t="s">
        <v>331</v>
      </c>
      <c r="AR97" s="4" t="s">
        <v>332</v>
      </c>
      <c r="AS97" s="4" t="s">
        <v>332</v>
      </c>
      <c r="AT97" s="4" t="s">
        <v>332</v>
      </c>
      <c r="AU97" s="4" t="s">
        <v>333</v>
      </c>
      <c r="AV97" s="4" t="n">
        <v>2047</v>
      </c>
      <c r="AW97" s="4" t="n">
        <v>0</v>
      </c>
      <c r="AX97" s="4" t="n">
        <v>400</v>
      </c>
      <c r="AY97" s="4" t="n">
        <v>0</v>
      </c>
      <c r="BB97" s="4" t="n">
        <v>2047.96875</v>
      </c>
      <c r="BC97" s="4" t="n">
        <v>0</v>
      </c>
      <c r="BD97" s="4" t="n">
        <v>100</v>
      </c>
      <c r="BE97" s="4" t="n">
        <v>0</v>
      </c>
      <c r="BH97" s="4" t="n">
        <v>420</v>
      </c>
      <c r="BI97" s="4" t="n">
        <v>0</v>
      </c>
      <c r="BN97" s="4" t="n">
        <v>0.5</v>
      </c>
      <c r="BO97" s="4" t="n">
        <v>-3</v>
      </c>
      <c r="BP97" s="4" t="n">
        <v>14.6499996185303</v>
      </c>
      <c r="BQ97" s="4" t="n">
        <v>60</v>
      </c>
      <c r="BR97" s="4" t="n">
        <v>13.1999998092651</v>
      </c>
      <c r="BV97" s="4" t="n">
        <v>1</v>
      </c>
      <c r="BW97" s="4" t="s">
        <v>334</v>
      </c>
      <c r="BX97" s="4" t="n">
        <v>60</v>
      </c>
      <c r="BY97" s="4" t="s">
        <v>332</v>
      </c>
      <c r="BZ97" s="4" t="s">
        <v>332</v>
      </c>
      <c r="CA97" s="4" t="s">
        <v>332</v>
      </c>
      <c r="CB97" s="4" t="s">
        <v>333</v>
      </c>
      <c r="CC97" s="4" t="s">
        <v>332</v>
      </c>
      <c r="CD97" s="4" t="s">
        <v>332</v>
      </c>
      <c r="CE97" s="4" t="s">
        <v>332</v>
      </c>
      <c r="CF97" s="4" t="s">
        <v>333</v>
      </c>
      <c r="CK97" s="169" t="n">
        <v>45008.5074305556</v>
      </c>
      <c r="CL97" s="169" t="n">
        <v>45008.5074305556</v>
      </c>
      <c r="CQ97" s="4" t="n">
        <v>1260</v>
      </c>
      <c r="CR97" s="4" t="n">
        <v>1.3</v>
      </c>
      <c r="CS97" s="21" t="n">
        <v>6.9E-006</v>
      </c>
      <c r="CT97" s="4" t="n">
        <v>0.7284</v>
      </c>
      <c r="CU97" s="4" t="s">
        <v>334</v>
      </c>
      <c r="CV97" s="169" t="n">
        <v>44941</v>
      </c>
      <c r="CW97" s="4" t="s">
        <v>327</v>
      </c>
      <c r="CX97" s="4" t="s">
        <v>393</v>
      </c>
      <c r="CY97" s="4" t="n">
        <v>31</v>
      </c>
      <c r="CZ97" s="4" t="n">
        <v>143</v>
      </c>
      <c r="DB97" s="4" t="s">
        <v>341</v>
      </c>
      <c r="DC97" s="4" t="s">
        <v>532</v>
      </c>
      <c r="DD97" s="4" t="s">
        <v>365</v>
      </c>
      <c r="DF97" s="4" t="n">
        <v>0.157</v>
      </c>
      <c r="DG97" s="4" t="n">
        <v>0.886</v>
      </c>
      <c r="DH97" s="4" t="n">
        <v>78.052</v>
      </c>
      <c r="DI97" s="4" t="n">
        <v>12.031</v>
      </c>
      <c r="DJ97" s="4" t="n">
        <v>5.447</v>
      </c>
      <c r="DK97" s="4" t="n">
        <v>0.791</v>
      </c>
      <c r="DL97" s="4" t="n">
        <v>1.704</v>
      </c>
      <c r="DM97" s="4" t="n">
        <v>0.35</v>
      </c>
      <c r="DN97" s="4" t="n">
        <v>0.356</v>
      </c>
      <c r="DO97" s="4" t="n">
        <v>0.226</v>
      </c>
      <c r="EQ97" s="4" t="s">
        <v>335</v>
      </c>
      <c r="FR97" s="4" t="s">
        <v>371</v>
      </c>
    </row>
    <row r="98" customFormat="false" ht="15.75" hidden="false" customHeight="true" outlineLevel="0" collapsed="false">
      <c r="A98" s="169" t="n">
        <v>45047.375</v>
      </c>
      <c r="B98" s="169" t="n">
        <v>45078.375</v>
      </c>
      <c r="C98" s="4" t="s">
        <v>533</v>
      </c>
      <c r="D98" s="4" t="s">
        <v>534</v>
      </c>
      <c r="E98" s="4" t="n">
        <v>0</v>
      </c>
      <c r="F98" s="4" t="n">
        <v>0</v>
      </c>
      <c r="G98" s="4" t="n">
        <v>0</v>
      </c>
      <c r="I98" s="4" t="n">
        <v>180.05083867555</v>
      </c>
      <c r="J98" s="4" t="n">
        <v>80.261414235638</v>
      </c>
      <c r="K98" s="4" t="n">
        <v>0</v>
      </c>
      <c r="L98" s="21" t="n">
        <v>3.59395032505109E-006</v>
      </c>
      <c r="N98" s="4" t="n">
        <v>1.01025275388468</v>
      </c>
      <c r="P98" s="4" t="s">
        <v>324</v>
      </c>
      <c r="Q98" s="4" t="s">
        <v>325</v>
      </c>
      <c r="T98" s="4" t="s">
        <v>326</v>
      </c>
      <c r="U98" s="4" t="s">
        <v>533</v>
      </c>
      <c r="V98" s="170" t="n">
        <v>43469</v>
      </c>
      <c r="W98" s="4" t="n">
        <v>1</v>
      </c>
      <c r="X98" s="4" t="n">
        <v>9</v>
      </c>
      <c r="AA98" s="4" t="n">
        <v>1.75</v>
      </c>
      <c r="AB98" s="4" t="n">
        <v>68</v>
      </c>
      <c r="AC98" s="4" t="s">
        <v>327</v>
      </c>
      <c r="AD98" s="4" t="n">
        <v>2.90000009536743</v>
      </c>
      <c r="AE98" s="4" t="n">
        <v>68</v>
      </c>
      <c r="AF98" s="4" t="s">
        <v>328</v>
      </c>
      <c r="AG98" s="4" t="s">
        <v>329</v>
      </c>
      <c r="AH98" s="4" t="s">
        <v>330</v>
      </c>
      <c r="AI98" s="4" t="s">
        <v>331</v>
      </c>
      <c r="AR98" s="4" t="s">
        <v>332</v>
      </c>
      <c r="AS98" s="4" t="s">
        <v>332</v>
      </c>
      <c r="AT98" s="4" t="s">
        <v>332</v>
      </c>
      <c r="AU98" s="4" t="s">
        <v>333</v>
      </c>
      <c r="AV98" s="4" t="n">
        <v>2047</v>
      </c>
      <c r="AW98" s="4" t="n">
        <v>0</v>
      </c>
      <c r="AX98" s="4" t="n">
        <v>400</v>
      </c>
      <c r="AY98" s="4" t="n">
        <v>0</v>
      </c>
      <c r="BB98" s="4" t="n">
        <v>2047</v>
      </c>
      <c r="BC98" s="4" t="n">
        <v>0</v>
      </c>
      <c r="BD98" s="4" t="n">
        <v>1513.19995117187</v>
      </c>
      <c r="BE98" s="4" t="n">
        <v>13.1999998092651</v>
      </c>
      <c r="BH98" s="4" t="n">
        <v>420</v>
      </c>
      <c r="BI98" s="4" t="n">
        <v>0</v>
      </c>
      <c r="BN98" s="4" t="n">
        <v>0.25</v>
      </c>
      <c r="BO98" s="4" t="n">
        <v>-3</v>
      </c>
      <c r="BP98" s="4" t="n">
        <v>14.6499996185303</v>
      </c>
      <c r="BQ98" s="4" t="n">
        <v>60</v>
      </c>
      <c r="BR98" s="4" t="n">
        <v>13.1999998092651</v>
      </c>
      <c r="BV98" s="4" t="n">
        <v>1</v>
      </c>
      <c r="BW98" s="4" t="s">
        <v>334</v>
      </c>
      <c r="BX98" s="4" t="n">
        <v>60</v>
      </c>
      <c r="BY98" s="4" t="s">
        <v>332</v>
      </c>
      <c r="BZ98" s="4" t="s">
        <v>332</v>
      </c>
      <c r="CA98" s="4" t="s">
        <v>332</v>
      </c>
      <c r="CB98" s="4" t="s">
        <v>333</v>
      </c>
      <c r="CC98" s="4" t="s">
        <v>332</v>
      </c>
      <c r="CD98" s="4" t="s">
        <v>332</v>
      </c>
      <c r="CE98" s="4" t="s">
        <v>333</v>
      </c>
      <c r="CF98" s="4" t="s">
        <v>333</v>
      </c>
      <c r="CK98" s="169" t="n">
        <v>43634.6522106482</v>
      </c>
      <c r="CL98" s="169" t="n">
        <v>43634.6522106482</v>
      </c>
      <c r="CQ98" s="4" t="n">
        <v>1000</v>
      </c>
      <c r="CR98" s="4" t="n">
        <v>1.29999995231628</v>
      </c>
      <c r="CS98" s="4" t="n">
        <v>0.0102679999545217</v>
      </c>
      <c r="CT98" s="4" t="n">
        <v>0.600000023841858</v>
      </c>
      <c r="CW98" s="4" t="s">
        <v>327</v>
      </c>
      <c r="DF98" s="4" t="n">
        <v>0</v>
      </c>
      <c r="DG98" s="4" t="n">
        <v>0</v>
      </c>
      <c r="DH98" s="4" t="n">
        <v>100</v>
      </c>
      <c r="DI98" s="4" t="n">
        <v>0</v>
      </c>
      <c r="DJ98" s="4" t="n">
        <v>0</v>
      </c>
      <c r="DK98" s="4" t="n">
        <v>0</v>
      </c>
      <c r="DL98" s="4" t="n">
        <v>0</v>
      </c>
      <c r="DM98" s="4" t="n">
        <v>0</v>
      </c>
      <c r="DN98" s="4" t="n">
        <v>0</v>
      </c>
      <c r="DO98" s="4" t="n">
        <v>0</v>
      </c>
      <c r="DQ98" s="4" t="n">
        <v>0</v>
      </c>
      <c r="DR98" s="4" t="n">
        <v>0</v>
      </c>
      <c r="DS98" s="4" t="n">
        <v>0</v>
      </c>
      <c r="DT98" s="4" t="n">
        <v>0</v>
      </c>
      <c r="DU98" s="4" t="n">
        <v>0</v>
      </c>
      <c r="DV98" s="4" t="n">
        <v>0</v>
      </c>
      <c r="DW98" s="4" t="n">
        <v>0</v>
      </c>
      <c r="DX98" s="4" t="n">
        <v>0</v>
      </c>
      <c r="DY98" s="4" t="n">
        <v>0</v>
      </c>
      <c r="DZ98" s="4" t="n">
        <v>0</v>
      </c>
      <c r="EA98" s="4" t="n">
        <v>0</v>
      </c>
      <c r="EQ98" s="4" t="s">
        <v>335</v>
      </c>
      <c r="FR98" s="4" t="s">
        <v>369</v>
      </c>
    </row>
    <row r="99" customFormat="false" ht="15.75" hidden="false" customHeight="true" outlineLevel="0" collapsed="false">
      <c r="A99" s="169" t="n">
        <v>45047.375</v>
      </c>
      <c r="B99" s="169" t="n">
        <v>45078.375</v>
      </c>
      <c r="C99" s="4" t="s">
        <v>110</v>
      </c>
      <c r="D99" s="4" t="s">
        <v>535</v>
      </c>
      <c r="E99" s="4" t="n">
        <v>14056.53</v>
      </c>
      <c r="F99" s="4" t="n">
        <v>14112.76</v>
      </c>
      <c r="G99" s="4" t="n">
        <v>29.7410757337913</v>
      </c>
      <c r="I99" s="4" t="n">
        <v>196.637397937609</v>
      </c>
      <c r="J99" s="4" t="n">
        <v>78.6185253117195</v>
      </c>
      <c r="K99" s="4" t="n">
        <v>44515.6333333333</v>
      </c>
      <c r="L99" s="4" t="n">
        <v>3.2027533697855</v>
      </c>
      <c r="N99" s="4" t="n">
        <v>1.01081204059092</v>
      </c>
      <c r="P99" s="4" t="s">
        <v>324</v>
      </c>
      <c r="Q99" s="4" t="s">
        <v>325</v>
      </c>
      <c r="T99" s="4" t="s">
        <v>326</v>
      </c>
      <c r="U99" s="4" t="s">
        <v>110</v>
      </c>
      <c r="V99" s="170" t="n">
        <v>43469</v>
      </c>
      <c r="W99" s="4" t="n">
        <v>1</v>
      </c>
      <c r="X99" s="4" t="n">
        <v>9</v>
      </c>
      <c r="AA99" s="4" t="n">
        <v>1</v>
      </c>
      <c r="AB99" s="4" t="n">
        <v>68</v>
      </c>
      <c r="AC99" s="4" t="s">
        <v>327</v>
      </c>
      <c r="AD99" s="4" t="n">
        <v>3.82599997520447</v>
      </c>
      <c r="AE99" s="4" t="n">
        <v>68</v>
      </c>
      <c r="AF99" s="4" t="s">
        <v>328</v>
      </c>
      <c r="AG99" s="4" t="s">
        <v>329</v>
      </c>
      <c r="AH99" s="4" t="s">
        <v>330</v>
      </c>
      <c r="AI99" s="4" t="s">
        <v>331</v>
      </c>
      <c r="AR99" s="4" t="s">
        <v>332</v>
      </c>
      <c r="AS99" s="4" t="s">
        <v>332</v>
      </c>
      <c r="AT99" s="4" t="s">
        <v>332</v>
      </c>
      <c r="AU99" s="4" t="s">
        <v>333</v>
      </c>
      <c r="AV99" s="4" t="n">
        <v>2047</v>
      </c>
      <c r="AW99" s="4" t="n">
        <v>0</v>
      </c>
      <c r="AX99" s="4" t="n">
        <v>400</v>
      </c>
      <c r="AY99" s="4" t="n">
        <v>0</v>
      </c>
      <c r="BB99" s="4" t="n">
        <v>2047</v>
      </c>
      <c r="BC99" s="4" t="n">
        <v>0</v>
      </c>
      <c r="BD99" s="4" t="n">
        <v>100</v>
      </c>
      <c r="BE99" s="4" t="n">
        <v>0</v>
      </c>
      <c r="BH99" s="4" t="n">
        <v>420</v>
      </c>
      <c r="BI99" s="4" t="n">
        <v>0</v>
      </c>
      <c r="BN99" s="4" t="n">
        <v>0.5</v>
      </c>
      <c r="BO99" s="4" t="n">
        <v>-3</v>
      </c>
      <c r="BP99" s="4" t="n">
        <v>14.6499996185303</v>
      </c>
      <c r="BQ99" s="4" t="n">
        <v>60</v>
      </c>
      <c r="BR99" s="4" t="n">
        <v>13.1999998092651</v>
      </c>
      <c r="BV99" s="4" t="n">
        <v>1</v>
      </c>
      <c r="BW99" s="4" t="s">
        <v>334</v>
      </c>
      <c r="BX99" s="4" t="n">
        <v>60</v>
      </c>
      <c r="BY99" s="4" t="s">
        <v>332</v>
      </c>
      <c r="BZ99" s="4" t="s">
        <v>332</v>
      </c>
      <c r="CA99" s="4" t="s">
        <v>332</v>
      </c>
      <c r="CB99" s="4" t="s">
        <v>333</v>
      </c>
      <c r="CC99" s="4" t="s">
        <v>332</v>
      </c>
      <c r="CD99" s="4" t="s">
        <v>332</v>
      </c>
      <c r="CE99" s="4" t="s">
        <v>333</v>
      </c>
      <c r="CF99" s="4" t="s">
        <v>333</v>
      </c>
      <c r="CK99" s="169" t="n">
        <v>43634.6522106482</v>
      </c>
      <c r="CL99" s="169" t="n">
        <v>43634.6522106482</v>
      </c>
      <c r="CQ99" s="4" t="n">
        <v>1004</v>
      </c>
      <c r="CR99" s="4" t="n">
        <v>1.3</v>
      </c>
      <c r="CS99" s="21" t="n">
        <v>6.9E-006</v>
      </c>
      <c r="CT99" s="4" t="n">
        <v>0.5635</v>
      </c>
      <c r="CU99" s="4" t="s">
        <v>334</v>
      </c>
      <c r="CV99" s="169" t="n">
        <v>45048</v>
      </c>
      <c r="CW99" s="4" t="s">
        <v>327</v>
      </c>
      <c r="CX99" s="4" t="s">
        <v>393</v>
      </c>
      <c r="CY99" s="4" t="n">
        <v>95</v>
      </c>
      <c r="CZ99" s="4" t="n">
        <v>203</v>
      </c>
      <c r="DB99" s="4" t="s">
        <v>386</v>
      </c>
      <c r="DC99" s="4" t="s">
        <v>536</v>
      </c>
      <c r="DD99" s="4" t="s">
        <v>380</v>
      </c>
      <c r="DG99" s="4" t="n">
        <v>1.099</v>
      </c>
      <c r="DH99" s="4" t="n">
        <v>98.081</v>
      </c>
      <c r="DI99" s="4" t="n">
        <v>0.775</v>
      </c>
      <c r="DJ99" s="4" t="n">
        <v>0.045</v>
      </c>
      <c r="EQ99" s="4" t="s">
        <v>335</v>
      </c>
      <c r="FR99" s="4" t="s">
        <v>369</v>
      </c>
    </row>
    <row r="100" customFormat="false" ht="15.75" hidden="false" customHeight="true" outlineLevel="0" collapsed="false">
      <c r="A100" s="169" t="n">
        <v>45047.375</v>
      </c>
      <c r="B100" s="169" t="n">
        <v>45078.375</v>
      </c>
      <c r="C100" s="4" t="s">
        <v>118</v>
      </c>
      <c r="D100" s="4" t="s">
        <v>537</v>
      </c>
      <c r="E100" s="4" t="n">
        <v>9614.86</v>
      </c>
      <c r="F100" s="4" t="n">
        <v>9720.62</v>
      </c>
      <c r="G100" s="4" t="n">
        <v>49.6204921146226</v>
      </c>
      <c r="I100" s="4" t="n">
        <v>203.170050663309</v>
      </c>
      <c r="J100" s="4" t="n">
        <v>82.844556337391</v>
      </c>
      <c r="K100" s="4" t="n">
        <v>41573.05</v>
      </c>
      <c r="L100" s="4" t="n">
        <v>4.010176514151</v>
      </c>
      <c r="N100" s="4" t="n">
        <v>1.01101347736405</v>
      </c>
      <c r="P100" s="4" t="s">
        <v>324</v>
      </c>
      <c r="Q100" s="4" t="s">
        <v>325</v>
      </c>
      <c r="T100" s="4" t="s">
        <v>326</v>
      </c>
      <c r="U100" s="4" t="s">
        <v>118</v>
      </c>
      <c r="V100" s="170" t="n">
        <v>43469</v>
      </c>
      <c r="W100" s="4" t="n">
        <v>1</v>
      </c>
      <c r="X100" s="4" t="n">
        <v>9</v>
      </c>
      <c r="AA100" s="4" t="n">
        <v>0.75</v>
      </c>
      <c r="AB100" s="4" t="n">
        <v>68</v>
      </c>
      <c r="AC100" s="4" t="s">
        <v>327</v>
      </c>
      <c r="AD100" s="4" t="n">
        <v>4.02600002288818</v>
      </c>
      <c r="AE100" s="4" t="n">
        <v>68</v>
      </c>
      <c r="AF100" s="4" t="s">
        <v>328</v>
      </c>
      <c r="AG100" s="4" t="s">
        <v>329</v>
      </c>
      <c r="AH100" s="4" t="s">
        <v>330</v>
      </c>
      <c r="AI100" s="4" t="s">
        <v>331</v>
      </c>
      <c r="AR100" s="4" t="s">
        <v>332</v>
      </c>
      <c r="AS100" s="4" t="s">
        <v>332</v>
      </c>
      <c r="AT100" s="4" t="s">
        <v>332</v>
      </c>
      <c r="AU100" s="4" t="s">
        <v>333</v>
      </c>
      <c r="AV100" s="4" t="n">
        <v>2047</v>
      </c>
      <c r="AW100" s="4" t="n">
        <v>0</v>
      </c>
      <c r="AX100" s="4" t="n">
        <v>400</v>
      </c>
      <c r="AY100" s="4" t="n">
        <v>0</v>
      </c>
      <c r="BB100" s="4" t="n">
        <v>2047</v>
      </c>
      <c r="BC100" s="4" t="n">
        <v>0</v>
      </c>
      <c r="BD100" s="4" t="n">
        <v>100</v>
      </c>
      <c r="BE100" s="4" t="n">
        <v>0</v>
      </c>
      <c r="BH100" s="4" t="n">
        <v>420</v>
      </c>
      <c r="BI100" s="4" t="n">
        <v>0</v>
      </c>
      <c r="BN100" s="4" t="n">
        <v>0.5</v>
      </c>
      <c r="BO100" s="4" t="n">
        <v>-3</v>
      </c>
      <c r="BP100" s="4" t="n">
        <v>14.6499996185303</v>
      </c>
      <c r="BQ100" s="4" t="n">
        <v>60</v>
      </c>
      <c r="BR100" s="4" t="n">
        <v>13.1999998092651</v>
      </c>
      <c r="BV100" s="4" t="n">
        <v>1</v>
      </c>
      <c r="BW100" s="4" t="s">
        <v>334</v>
      </c>
      <c r="BX100" s="4" t="n">
        <v>60</v>
      </c>
      <c r="BY100" s="4" t="s">
        <v>332</v>
      </c>
      <c r="BZ100" s="4" t="s">
        <v>332</v>
      </c>
      <c r="CA100" s="4" t="s">
        <v>332</v>
      </c>
      <c r="CB100" s="4" t="s">
        <v>333</v>
      </c>
      <c r="CC100" s="4" t="s">
        <v>332</v>
      </c>
      <c r="CD100" s="4" t="s">
        <v>332</v>
      </c>
      <c r="CE100" s="4" t="s">
        <v>333</v>
      </c>
      <c r="CF100" s="4" t="s">
        <v>333</v>
      </c>
      <c r="CK100" s="169" t="n">
        <v>44950.0469444445</v>
      </c>
      <c r="CL100" s="169" t="n">
        <v>44950.0469444445</v>
      </c>
      <c r="CQ100" s="4" t="n">
        <v>1011</v>
      </c>
      <c r="CR100" s="4" t="n">
        <v>1.3</v>
      </c>
      <c r="CS100" s="21" t="n">
        <v>6.9E-006</v>
      </c>
      <c r="CT100" s="4" t="n">
        <v>0.5677</v>
      </c>
      <c r="CU100" s="4" t="s">
        <v>334</v>
      </c>
      <c r="CV100" s="169" t="n">
        <v>45048</v>
      </c>
      <c r="CW100" s="4" t="s">
        <v>327</v>
      </c>
      <c r="CX100" s="4" t="s">
        <v>350</v>
      </c>
      <c r="CY100" s="4" t="n">
        <v>84</v>
      </c>
      <c r="CZ100" s="4" t="n">
        <v>204</v>
      </c>
      <c r="DB100" s="4" t="s">
        <v>386</v>
      </c>
      <c r="DC100" s="4" t="s">
        <v>538</v>
      </c>
      <c r="DD100" s="4" t="s">
        <v>365</v>
      </c>
      <c r="DG100" s="4" t="n">
        <v>1.095</v>
      </c>
      <c r="DH100" s="4" t="n">
        <v>97.438</v>
      </c>
      <c r="DI100" s="4" t="n">
        <v>1.242</v>
      </c>
      <c r="DJ100" s="4" t="n">
        <v>0.189</v>
      </c>
      <c r="DK100" s="4" t="n">
        <v>0.014</v>
      </c>
      <c r="DL100" s="4" t="n">
        <v>0.022</v>
      </c>
      <c r="EQ100" s="4" t="s">
        <v>335</v>
      </c>
      <c r="FR100" s="4" t="s">
        <v>369</v>
      </c>
    </row>
    <row r="101" customFormat="false" ht="15.75" hidden="false" customHeight="true" outlineLevel="0" collapsed="false">
      <c r="A101" s="169" t="n">
        <v>45047.375</v>
      </c>
      <c r="B101" s="169" t="n">
        <v>45078.375</v>
      </c>
      <c r="C101" s="4" t="s">
        <v>539</v>
      </c>
      <c r="D101" s="4" t="s">
        <v>540</v>
      </c>
      <c r="E101" s="4" t="n">
        <v>4752.29</v>
      </c>
      <c r="F101" s="4" t="n">
        <v>6406.08</v>
      </c>
      <c r="G101" s="4" t="n">
        <v>43.7772362843471</v>
      </c>
      <c r="I101" s="4" t="n">
        <v>1045.56509794579</v>
      </c>
      <c r="J101" s="4" t="n">
        <v>97.041663788126</v>
      </c>
      <c r="K101" s="4" t="n">
        <v>38252.3833333333</v>
      </c>
      <c r="L101" s="4" t="n">
        <v>4.46227198381533</v>
      </c>
      <c r="N101" s="4" t="n">
        <v>1.15067448279137</v>
      </c>
      <c r="P101" s="4" t="s">
        <v>324</v>
      </c>
      <c r="Q101" s="4" t="s">
        <v>325</v>
      </c>
      <c r="T101" s="4" t="s">
        <v>326</v>
      </c>
      <c r="U101" s="4" t="s">
        <v>539</v>
      </c>
      <c r="V101" s="170" t="n">
        <v>43516</v>
      </c>
      <c r="W101" s="4" t="n">
        <v>1</v>
      </c>
      <c r="X101" s="4" t="n">
        <v>9</v>
      </c>
      <c r="AA101" s="4" t="n">
        <v>0.5</v>
      </c>
      <c r="AB101" s="4" t="n">
        <v>68</v>
      </c>
      <c r="AC101" s="4" t="s">
        <v>327</v>
      </c>
      <c r="AD101" s="4" t="n">
        <v>1.93900001049042</v>
      </c>
      <c r="AE101" s="4" t="n">
        <v>68</v>
      </c>
      <c r="AF101" s="4" t="s">
        <v>328</v>
      </c>
      <c r="AG101" s="4" t="s">
        <v>329</v>
      </c>
      <c r="AH101" s="4" t="s">
        <v>330</v>
      </c>
      <c r="AI101" s="4" t="s">
        <v>331</v>
      </c>
      <c r="AR101" s="4" t="s">
        <v>332</v>
      </c>
      <c r="AS101" s="4" t="s">
        <v>332</v>
      </c>
      <c r="AT101" s="4" t="s">
        <v>332</v>
      </c>
      <c r="AU101" s="4" t="s">
        <v>333</v>
      </c>
      <c r="AV101" s="4" t="n">
        <v>2047</v>
      </c>
      <c r="AW101" s="4" t="n">
        <v>0</v>
      </c>
      <c r="AX101" s="4" t="n">
        <v>400</v>
      </c>
      <c r="AY101" s="4" t="n">
        <v>0</v>
      </c>
      <c r="BB101" s="4" t="n">
        <v>2047.96875</v>
      </c>
      <c r="BC101" s="4" t="n">
        <v>0</v>
      </c>
      <c r="BD101" s="4" t="n">
        <v>1014.72998046875</v>
      </c>
      <c r="BE101" s="4" t="n">
        <v>14.7299995422363</v>
      </c>
      <c r="BH101" s="4" t="n">
        <v>420</v>
      </c>
      <c r="BI101" s="4" t="n">
        <v>0</v>
      </c>
      <c r="BN101" s="4" t="n">
        <v>0.5</v>
      </c>
      <c r="BO101" s="4" t="n">
        <v>-3</v>
      </c>
      <c r="BP101" s="4" t="n">
        <v>14.6499996185303</v>
      </c>
      <c r="BQ101" s="4" t="n">
        <v>60</v>
      </c>
      <c r="BR101" s="4" t="n">
        <v>13.1999998092651</v>
      </c>
      <c r="BV101" s="4" t="n">
        <v>1</v>
      </c>
      <c r="BW101" s="4" t="s">
        <v>334</v>
      </c>
      <c r="BX101" s="4" t="n">
        <v>60</v>
      </c>
      <c r="BY101" s="4" t="s">
        <v>332</v>
      </c>
      <c r="BZ101" s="4" t="s">
        <v>332</v>
      </c>
      <c r="CA101" s="4" t="s">
        <v>332</v>
      </c>
      <c r="CB101" s="4" t="s">
        <v>333</v>
      </c>
      <c r="CC101" s="4" t="s">
        <v>332</v>
      </c>
      <c r="CD101" s="4" t="s">
        <v>332</v>
      </c>
      <c r="CE101" s="4" t="s">
        <v>333</v>
      </c>
      <c r="CF101" s="4" t="s">
        <v>333</v>
      </c>
      <c r="CK101" s="169" t="n">
        <v>44937.5145949074</v>
      </c>
      <c r="CL101" s="169" t="n">
        <v>44937.5145949074</v>
      </c>
      <c r="CQ101" s="4" t="n">
        <v>1348</v>
      </c>
      <c r="CR101" s="4" t="n">
        <v>1.3</v>
      </c>
      <c r="CS101" s="21" t="n">
        <v>6.9E-006</v>
      </c>
      <c r="CT101" s="4" t="n">
        <v>0.7927</v>
      </c>
      <c r="CU101" s="4" t="s">
        <v>334</v>
      </c>
      <c r="CV101" s="169" t="n">
        <v>45053</v>
      </c>
      <c r="CW101" s="4" t="s">
        <v>327</v>
      </c>
      <c r="CX101" s="4" t="s">
        <v>350</v>
      </c>
      <c r="CY101" s="4" t="n">
        <v>99</v>
      </c>
      <c r="CZ101" s="4" t="n">
        <v>1047</v>
      </c>
      <c r="DB101" s="4" t="s">
        <v>341</v>
      </c>
      <c r="DC101" s="4" t="s">
        <v>541</v>
      </c>
      <c r="DD101" s="4" t="s">
        <v>360</v>
      </c>
      <c r="DF101" s="4" t="n">
        <v>0.268</v>
      </c>
      <c r="DG101" s="4" t="n">
        <v>1.416</v>
      </c>
      <c r="DH101" s="4" t="n">
        <v>71.766</v>
      </c>
      <c r="DI101" s="4" t="n">
        <v>12.868</v>
      </c>
      <c r="DJ101" s="4" t="n">
        <v>8.665</v>
      </c>
      <c r="DK101" s="4" t="n">
        <v>0.95</v>
      </c>
      <c r="DL101" s="4" t="n">
        <v>2.81</v>
      </c>
      <c r="DM101" s="4" t="n">
        <v>0.469</v>
      </c>
      <c r="DN101" s="4" t="n">
        <v>0.513</v>
      </c>
      <c r="DO101" s="4" t="n">
        <v>0.275</v>
      </c>
      <c r="EQ101" s="4" t="s">
        <v>335</v>
      </c>
      <c r="FR101" s="4" t="s">
        <v>389</v>
      </c>
    </row>
    <row r="102" customFormat="false" ht="15.75" hidden="false" customHeight="true" outlineLevel="0" collapsed="false">
      <c r="A102" s="169" t="n">
        <v>45047.375</v>
      </c>
      <c r="B102" s="169" t="n">
        <v>45078.375</v>
      </c>
      <c r="C102" s="4" t="s">
        <v>542</v>
      </c>
      <c r="D102" s="4" t="s">
        <v>543</v>
      </c>
      <c r="E102" s="4" t="n">
        <v>508596.82</v>
      </c>
      <c r="F102" s="4" t="n">
        <v>635746.02</v>
      </c>
      <c r="G102" s="4" t="n">
        <v>104.441026363667</v>
      </c>
      <c r="I102" s="4" t="n">
        <v>73.2529260051732</v>
      </c>
      <c r="J102" s="4" t="n">
        <v>70.3270674614634</v>
      </c>
      <c r="K102" s="4" t="n">
        <v>44558.8333333333</v>
      </c>
      <c r="L102" s="4" t="n">
        <v>3.63822807119451</v>
      </c>
      <c r="N102" s="4" t="n">
        <v>1.00649692581281</v>
      </c>
      <c r="P102" s="4" t="s">
        <v>324</v>
      </c>
      <c r="Q102" s="4" t="s">
        <v>325</v>
      </c>
      <c r="T102" s="4" t="s">
        <v>326</v>
      </c>
      <c r="U102" s="4" t="s">
        <v>542</v>
      </c>
      <c r="V102" s="170" t="n">
        <v>43354</v>
      </c>
      <c r="W102" s="4" t="n">
        <v>1</v>
      </c>
      <c r="X102" s="4" t="n">
        <v>9</v>
      </c>
      <c r="AA102" s="4" t="n">
        <v>5.5</v>
      </c>
      <c r="AB102" s="4" t="n">
        <v>68</v>
      </c>
      <c r="AC102" s="4" t="s">
        <v>327</v>
      </c>
      <c r="AD102" s="4" t="n">
        <v>7.625</v>
      </c>
      <c r="AE102" s="4" t="n">
        <v>68</v>
      </c>
      <c r="AF102" s="4" t="s">
        <v>328</v>
      </c>
      <c r="AG102" s="4" t="s">
        <v>329</v>
      </c>
      <c r="AH102" s="4" t="s">
        <v>330</v>
      </c>
      <c r="AI102" s="4" t="s">
        <v>331</v>
      </c>
      <c r="AR102" s="4" t="s">
        <v>332</v>
      </c>
      <c r="AS102" s="4" t="s">
        <v>332</v>
      </c>
      <c r="AT102" s="4" t="s">
        <v>332</v>
      </c>
      <c r="AU102" s="4" t="s">
        <v>333</v>
      </c>
      <c r="AV102" s="4" t="n">
        <v>250</v>
      </c>
      <c r="AW102" s="4" t="n">
        <v>0</v>
      </c>
      <c r="AX102" s="4" t="n">
        <v>400</v>
      </c>
      <c r="AY102" s="4" t="n">
        <v>0</v>
      </c>
      <c r="BB102" s="4" t="n">
        <v>250</v>
      </c>
      <c r="BC102" s="4" t="n">
        <v>13.1999998092651</v>
      </c>
      <c r="BD102" s="4" t="n">
        <v>1513.19995117187</v>
      </c>
      <c r="BE102" s="4" t="n">
        <v>13.1999998092651</v>
      </c>
      <c r="BH102" s="4" t="n">
        <v>150</v>
      </c>
      <c r="BI102" s="4" t="n">
        <v>0</v>
      </c>
      <c r="BN102" s="4" t="n">
        <v>0.5</v>
      </c>
      <c r="BO102" s="4" t="n">
        <v>-3</v>
      </c>
      <c r="BP102" s="4" t="n">
        <v>14.6499996185303</v>
      </c>
      <c r="BQ102" s="4" t="n">
        <v>60</v>
      </c>
      <c r="BR102" s="4" t="n">
        <v>13.1999998092651</v>
      </c>
      <c r="BV102" s="4" t="n">
        <v>1</v>
      </c>
      <c r="BW102" s="4" t="s">
        <v>334</v>
      </c>
      <c r="BX102" s="4" t="n">
        <v>60</v>
      </c>
      <c r="BY102" s="4" t="s">
        <v>332</v>
      </c>
      <c r="BZ102" s="4" t="s">
        <v>332</v>
      </c>
      <c r="CA102" s="4" t="s">
        <v>332</v>
      </c>
      <c r="CB102" s="4" t="s">
        <v>333</v>
      </c>
      <c r="CC102" s="4" t="s">
        <v>332</v>
      </c>
      <c r="CD102" s="4" t="s">
        <v>332</v>
      </c>
      <c r="CE102" s="4" t="s">
        <v>333</v>
      </c>
      <c r="CF102" s="4" t="s">
        <v>333</v>
      </c>
      <c r="CK102" s="169" t="n">
        <v>45076.4033796296</v>
      </c>
      <c r="CL102" s="169" t="n">
        <v>44918.5949768519</v>
      </c>
      <c r="CQ102" s="4" t="n">
        <v>1250</v>
      </c>
      <c r="CR102" s="4" t="n">
        <v>1.3</v>
      </c>
      <c r="CS102" s="21" t="n">
        <v>6.9E-006</v>
      </c>
      <c r="CT102" s="4" t="n">
        <v>0.7184</v>
      </c>
      <c r="CU102" s="4" t="s">
        <v>334</v>
      </c>
      <c r="CV102" s="169" t="n">
        <v>45062</v>
      </c>
      <c r="CW102" s="4" t="s">
        <v>327</v>
      </c>
      <c r="CX102" s="4" t="s">
        <v>340</v>
      </c>
      <c r="CY102" s="4" t="n">
        <v>71</v>
      </c>
      <c r="CZ102" s="4" t="n">
        <v>66</v>
      </c>
      <c r="DB102" s="4" t="s">
        <v>341</v>
      </c>
      <c r="DC102" s="4" t="s">
        <v>342</v>
      </c>
      <c r="DD102" s="4" t="s">
        <v>380</v>
      </c>
      <c r="DF102" s="4" t="n">
        <v>0.125</v>
      </c>
      <c r="DG102" s="4" t="n">
        <v>0.594</v>
      </c>
      <c r="DH102" s="4" t="n">
        <v>80.708</v>
      </c>
      <c r="DI102" s="4" t="n">
        <v>10.699</v>
      </c>
      <c r="DJ102" s="4" t="n">
        <v>4.223</v>
      </c>
      <c r="DK102" s="4" t="n">
        <v>0.728</v>
      </c>
      <c r="DL102" s="4" t="n">
        <v>1.381</v>
      </c>
      <c r="DM102" s="4" t="n">
        <v>0.387</v>
      </c>
      <c r="DN102" s="4" t="n">
        <v>0.416</v>
      </c>
      <c r="DO102" s="4" t="n">
        <v>0.739</v>
      </c>
      <c r="EQ102" s="4" t="s">
        <v>335</v>
      </c>
      <c r="FR102" s="4" t="s">
        <v>544</v>
      </c>
    </row>
    <row r="103" customFormat="false" ht="15.75" hidden="false" customHeight="true" outlineLevel="0" collapsed="false">
      <c r="A103" s="169" t="n">
        <v>45047.375</v>
      </c>
      <c r="B103" s="169" t="n">
        <v>45078.375</v>
      </c>
      <c r="C103" s="4" t="s">
        <v>545</v>
      </c>
      <c r="D103" s="4" t="s">
        <v>546</v>
      </c>
      <c r="E103" s="4" t="n">
        <v>4432232.3</v>
      </c>
      <c r="F103" s="4" t="n">
        <v>5543868.05</v>
      </c>
      <c r="G103" s="4" t="n">
        <v>179.647890931488</v>
      </c>
      <c r="I103" s="4" t="n">
        <v>958.610875369666</v>
      </c>
      <c r="J103" s="4" t="n">
        <v>74.7203649043992</v>
      </c>
      <c r="K103" s="4" t="n">
        <v>44634.4</v>
      </c>
      <c r="L103" s="4" t="n">
        <v>17.5140248299413</v>
      </c>
      <c r="N103" s="4" t="n">
        <v>1.12281721546091</v>
      </c>
      <c r="P103" s="4" t="s">
        <v>324</v>
      </c>
      <c r="Q103" s="4" t="s">
        <v>325</v>
      </c>
      <c r="T103" s="4" t="s">
        <v>326</v>
      </c>
      <c r="U103" s="4" t="s">
        <v>545</v>
      </c>
      <c r="V103" s="170" t="n">
        <v>43502</v>
      </c>
      <c r="W103" s="4" t="n">
        <v>1</v>
      </c>
      <c r="X103" s="4" t="n">
        <v>9</v>
      </c>
      <c r="AA103" s="4" t="n">
        <v>7.5</v>
      </c>
      <c r="AB103" s="4" t="n">
        <v>68</v>
      </c>
      <c r="AC103" s="4" t="s">
        <v>327</v>
      </c>
      <c r="AD103" s="4" t="n">
        <v>14.996000289917</v>
      </c>
      <c r="AE103" s="4" t="n">
        <v>68</v>
      </c>
      <c r="AF103" s="4" t="s">
        <v>328</v>
      </c>
      <c r="AG103" s="4" t="s">
        <v>329</v>
      </c>
      <c r="AH103" s="4" t="s">
        <v>330</v>
      </c>
      <c r="AI103" s="4" t="s">
        <v>331</v>
      </c>
      <c r="AR103" s="4" t="s">
        <v>333</v>
      </c>
      <c r="AS103" s="4" t="s">
        <v>333</v>
      </c>
      <c r="AT103" s="4" t="s">
        <v>333</v>
      </c>
      <c r="AU103" s="4" t="s">
        <v>333</v>
      </c>
      <c r="AV103" s="4" t="n">
        <v>2047</v>
      </c>
      <c r="AW103" s="4" t="n">
        <v>0</v>
      </c>
      <c r="AX103" s="4" t="n">
        <v>400</v>
      </c>
      <c r="AY103" s="4" t="n">
        <v>0</v>
      </c>
      <c r="BB103" s="4" t="n">
        <v>2047</v>
      </c>
      <c r="BC103" s="4" t="n">
        <v>0</v>
      </c>
      <c r="BD103" s="4" t="n">
        <v>100</v>
      </c>
      <c r="BE103" s="4" t="n">
        <v>0</v>
      </c>
      <c r="BH103" s="4" t="n">
        <v>420</v>
      </c>
      <c r="BI103" s="4" t="n">
        <v>0</v>
      </c>
      <c r="BN103" s="4" t="n">
        <v>0.5</v>
      </c>
      <c r="BO103" s="4" t="n">
        <v>-3</v>
      </c>
      <c r="BP103" s="4" t="n">
        <v>14.6499996185303</v>
      </c>
      <c r="BQ103" s="4" t="n">
        <v>60</v>
      </c>
      <c r="BR103" s="4" t="n">
        <v>13.1999998092651</v>
      </c>
      <c r="BV103" s="4" t="n">
        <v>1</v>
      </c>
      <c r="BW103" s="4" t="s">
        <v>334</v>
      </c>
      <c r="BX103" s="4" t="n">
        <v>60</v>
      </c>
      <c r="BY103" s="4" t="s">
        <v>332</v>
      </c>
      <c r="BZ103" s="4" t="s">
        <v>332</v>
      </c>
      <c r="CA103" s="4" t="s">
        <v>332</v>
      </c>
      <c r="CB103" s="4" t="s">
        <v>333</v>
      </c>
      <c r="CC103" s="4" t="s">
        <v>332</v>
      </c>
      <c r="CD103" s="4" t="s">
        <v>332</v>
      </c>
      <c r="CE103" s="4" t="s">
        <v>333</v>
      </c>
      <c r="CF103" s="4" t="s">
        <v>333</v>
      </c>
      <c r="CK103" s="169" t="n">
        <v>44950.0469444445</v>
      </c>
      <c r="CL103" s="169" t="n">
        <v>44950.0469444445</v>
      </c>
      <c r="CQ103" s="4" t="n">
        <v>1250.83640760617</v>
      </c>
      <c r="CR103" s="4" t="n">
        <v>1.29999995231628</v>
      </c>
      <c r="CS103" s="4" t="n">
        <v>0.0102679999545217</v>
      </c>
      <c r="CT103" s="4" t="n">
        <v>0.720452106011746</v>
      </c>
      <c r="CV103" s="169" t="n">
        <v>45078</v>
      </c>
      <c r="CW103" s="4" t="s">
        <v>325</v>
      </c>
      <c r="DF103" s="4" t="n">
        <v>0.329638958154139</v>
      </c>
      <c r="DG103" s="4" t="n">
        <v>0.841558039433176</v>
      </c>
      <c r="DH103" s="4" t="n">
        <v>79.5929339418582</v>
      </c>
      <c r="DI103" s="4" t="n">
        <v>10.750317162005</v>
      </c>
      <c r="DJ103" s="4" t="n">
        <v>5.14618593314819</v>
      </c>
      <c r="DK103" s="4" t="n">
        <v>0.728508519339993</v>
      </c>
      <c r="DL103" s="4" t="n">
        <v>1.59334016987004</v>
      </c>
      <c r="DM103" s="4" t="n">
        <v>0.36395880375585</v>
      </c>
      <c r="DN103" s="4" t="n">
        <v>0.363610980329868</v>
      </c>
      <c r="DO103" s="4" t="n">
        <v>0.139479548201812</v>
      </c>
      <c r="DQ103" s="4" t="n">
        <v>0.0949068972518505</v>
      </c>
      <c r="DR103" s="4" t="n">
        <v>0.0555612973769263</v>
      </c>
      <c r="EQ103" s="4" t="s">
        <v>335</v>
      </c>
      <c r="FR103" s="4" t="s">
        <v>369</v>
      </c>
    </row>
    <row r="104" customFormat="false" ht="15.75" hidden="false" customHeight="true" outlineLevel="0" collapsed="false">
      <c r="A104" s="169" t="n">
        <v>45047.375</v>
      </c>
      <c r="B104" s="169" t="n">
        <v>45078.375</v>
      </c>
      <c r="C104" s="4" t="s">
        <v>547</v>
      </c>
      <c r="D104" s="4" t="s">
        <v>548</v>
      </c>
      <c r="E104" s="4" t="n">
        <v>4628199.94</v>
      </c>
      <c r="F104" s="4" t="n">
        <v>5788022.33</v>
      </c>
      <c r="G104" s="4" t="n">
        <v>83.8178552284739</v>
      </c>
      <c r="I104" s="4" t="n">
        <v>956.749445509249</v>
      </c>
      <c r="J104" s="4" t="n">
        <v>74.2897944207508</v>
      </c>
      <c r="K104" s="4" t="n">
        <v>44566.3</v>
      </c>
      <c r="L104" s="4" t="n">
        <v>12.0436899397714</v>
      </c>
      <c r="N104" s="4" t="n">
        <v>1.12300638572531</v>
      </c>
      <c r="P104" s="4" t="s">
        <v>324</v>
      </c>
      <c r="Q104" s="4" t="s">
        <v>325</v>
      </c>
      <c r="T104" s="4" t="s">
        <v>326</v>
      </c>
      <c r="U104" s="4" t="s">
        <v>547</v>
      </c>
      <c r="V104" s="170" t="n">
        <v>43679</v>
      </c>
      <c r="W104" s="4" t="n">
        <v>1</v>
      </c>
      <c r="X104" s="4" t="n">
        <v>9</v>
      </c>
      <c r="AA104" s="4" t="n">
        <v>9</v>
      </c>
      <c r="AB104" s="4" t="n">
        <v>68</v>
      </c>
      <c r="AC104" s="4" t="s">
        <v>327</v>
      </c>
      <c r="AD104" s="4" t="n">
        <v>14.996000289917</v>
      </c>
      <c r="AE104" s="4" t="n">
        <v>68</v>
      </c>
      <c r="AF104" s="4" t="s">
        <v>328</v>
      </c>
      <c r="AG104" s="4" t="s">
        <v>329</v>
      </c>
      <c r="AH104" s="4" t="s">
        <v>330</v>
      </c>
      <c r="AI104" s="4" t="s">
        <v>331</v>
      </c>
      <c r="AR104" s="4" t="s">
        <v>333</v>
      </c>
      <c r="AS104" s="4" t="s">
        <v>333</v>
      </c>
      <c r="AT104" s="4" t="s">
        <v>333</v>
      </c>
      <c r="AU104" s="4" t="s">
        <v>333</v>
      </c>
      <c r="AV104" s="4" t="n">
        <v>2047</v>
      </c>
      <c r="AW104" s="4" t="n">
        <v>0</v>
      </c>
      <c r="AX104" s="4" t="n">
        <v>400</v>
      </c>
      <c r="AY104" s="4" t="n">
        <v>0</v>
      </c>
      <c r="BB104" s="4" t="n">
        <v>2047.96875</v>
      </c>
      <c r="BC104" s="4" t="n">
        <v>0</v>
      </c>
      <c r="BD104" s="4" t="n">
        <v>1513.19995117187</v>
      </c>
      <c r="BE104" s="4" t="n">
        <v>13.1999998092651</v>
      </c>
      <c r="BH104" s="4" t="n">
        <v>420</v>
      </c>
      <c r="BI104" s="4" t="n">
        <v>0</v>
      </c>
      <c r="BN104" s="4" t="n">
        <v>0.5</v>
      </c>
      <c r="BO104" s="4" t="n">
        <v>-3</v>
      </c>
      <c r="BP104" s="4" t="n">
        <v>14.6499996185303</v>
      </c>
      <c r="BQ104" s="4" t="n">
        <v>60</v>
      </c>
      <c r="BR104" s="4" t="n">
        <v>13.1999998092651</v>
      </c>
      <c r="BV104" s="4" t="n">
        <v>1</v>
      </c>
      <c r="BW104" s="4" t="s">
        <v>334</v>
      </c>
      <c r="BX104" s="4" t="n">
        <v>60</v>
      </c>
      <c r="BY104" s="4" t="s">
        <v>332</v>
      </c>
      <c r="BZ104" s="4" t="s">
        <v>332</v>
      </c>
      <c r="CA104" s="4" t="s">
        <v>332</v>
      </c>
      <c r="CB104" s="4" t="s">
        <v>333</v>
      </c>
      <c r="CC104" s="4" t="s">
        <v>332</v>
      </c>
      <c r="CD104" s="4" t="s">
        <v>332</v>
      </c>
      <c r="CE104" s="4" t="s">
        <v>332</v>
      </c>
      <c r="CF104" s="4" t="s">
        <v>333</v>
      </c>
      <c r="CK104" s="169" t="n">
        <v>44891.358275463</v>
      </c>
      <c r="CL104" s="169" t="n">
        <v>44891.358275463</v>
      </c>
      <c r="CQ104" s="4" t="n">
        <v>1250.60455772884</v>
      </c>
      <c r="CR104" s="4" t="n">
        <v>1.29999995231628</v>
      </c>
      <c r="CS104" s="4" t="n">
        <v>0.0102679999545217</v>
      </c>
      <c r="CT104" s="4" t="n">
        <v>0.720252865924548</v>
      </c>
      <c r="CV104" s="169" t="n">
        <v>45078</v>
      </c>
      <c r="CW104" s="4" t="s">
        <v>325</v>
      </c>
      <c r="DF104" s="4" t="n">
        <v>0.326322250540276</v>
      </c>
      <c r="DG104" s="4" t="n">
        <v>0.842299317490597</v>
      </c>
      <c r="DH104" s="4" t="n">
        <v>79.5521447705737</v>
      </c>
      <c r="DI104" s="4" t="n">
        <v>10.8407623589501</v>
      </c>
      <c r="DJ104" s="4" t="n">
        <v>5.10902262659626</v>
      </c>
      <c r="DK104" s="4" t="n">
        <v>0.728704163415184</v>
      </c>
      <c r="DL104" s="4" t="n">
        <v>1.59857756877488</v>
      </c>
      <c r="DM104" s="4" t="n">
        <v>0.361830392854062</v>
      </c>
      <c r="DN104" s="4" t="n">
        <v>0.354905976255753</v>
      </c>
      <c r="DO104" s="4" t="n">
        <v>0.137145191237446</v>
      </c>
      <c r="DQ104" s="4" t="n">
        <v>0.0940862186973707</v>
      </c>
      <c r="DR104" s="4" t="n">
        <v>0.0541990612300467</v>
      </c>
      <c r="EQ104" s="4" t="s">
        <v>335</v>
      </c>
      <c r="FR104" s="4" t="s">
        <v>417</v>
      </c>
    </row>
    <row r="105" customFormat="false" ht="15.75" hidden="false" customHeight="true" outlineLevel="0" collapsed="false">
      <c r="A105" s="169" t="n">
        <v>45047.375</v>
      </c>
      <c r="B105" s="169" t="n">
        <v>45078.375</v>
      </c>
      <c r="C105" s="4" t="s">
        <v>549</v>
      </c>
      <c r="D105" s="4" t="s">
        <v>550</v>
      </c>
      <c r="E105" s="4" t="n">
        <v>0</v>
      </c>
      <c r="F105" s="4" t="n">
        <v>0</v>
      </c>
      <c r="G105" s="4" t="n">
        <v>0</v>
      </c>
      <c r="I105" s="4" t="n">
        <v>14.8461738119843</v>
      </c>
      <c r="J105" s="4" t="n">
        <v>76.9216287110442</v>
      </c>
      <c r="K105" s="4" t="n">
        <v>0</v>
      </c>
      <c r="L105" s="4" t="n">
        <v>0</v>
      </c>
      <c r="P105" s="4" t="s">
        <v>324</v>
      </c>
      <c r="Q105" s="4" t="s">
        <v>325</v>
      </c>
      <c r="T105" s="4" t="s">
        <v>326</v>
      </c>
      <c r="U105" s="4" t="s">
        <v>549</v>
      </c>
      <c r="V105" s="170" t="n">
        <v>44790</v>
      </c>
      <c r="W105" s="4" t="n">
        <v>1</v>
      </c>
      <c r="X105" s="4" t="n">
        <v>9</v>
      </c>
      <c r="AA105" s="4" t="n">
        <v>1</v>
      </c>
      <c r="AB105" s="4" t="n">
        <v>68</v>
      </c>
      <c r="AC105" s="4" t="s">
        <v>327</v>
      </c>
      <c r="AD105" s="4" t="n">
        <v>1.94799995422363</v>
      </c>
      <c r="AE105" s="4" t="n">
        <v>68</v>
      </c>
      <c r="AF105" s="4" t="s">
        <v>328</v>
      </c>
      <c r="AG105" s="4" t="s">
        <v>329</v>
      </c>
      <c r="AH105" s="4" t="s">
        <v>330</v>
      </c>
      <c r="AI105" s="4" t="s">
        <v>331</v>
      </c>
      <c r="AR105" s="4" t="s">
        <v>332</v>
      </c>
      <c r="AS105" s="4" t="s">
        <v>332</v>
      </c>
      <c r="AT105" s="4" t="s">
        <v>332</v>
      </c>
      <c r="AU105" s="4" t="s">
        <v>333</v>
      </c>
      <c r="AV105" s="4" t="n">
        <v>2047</v>
      </c>
      <c r="AW105" s="4" t="n">
        <v>0</v>
      </c>
      <c r="AX105" s="4" t="n">
        <v>400</v>
      </c>
      <c r="AY105" s="4" t="n">
        <v>0</v>
      </c>
      <c r="BB105" s="4" t="n">
        <v>2047.96875</v>
      </c>
      <c r="BC105" s="4" t="n">
        <v>0</v>
      </c>
      <c r="BD105" s="4" t="n">
        <v>100</v>
      </c>
      <c r="BE105" s="4" t="n">
        <v>0</v>
      </c>
      <c r="BH105" s="4" t="n">
        <v>420</v>
      </c>
      <c r="BI105" s="4" t="n">
        <v>0</v>
      </c>
      <c r="BN105" s="4" t="n">
        <v>0.5</v>
      </c>
      <c r="BO105" s="4" t="n">
        <v>-3</v>
      </c>
      <c r="BP105" s="4" t="n">
        <v>14.65</v>
      </c>
      <c r="BQ105" s="4" t="n">
        <v>60</v>
      </c>
      <c r="BR105" s="4" t="n">
        <v>13.2</v>
      </c>
      <c r="BV105" s="4" t="n">
        <v>1</v>
      </c>
      <c r="BW105" s="4" t="s">
        <v>334</v>
      </c>
      <c r="BX105" s="4" t="n">
        <v>60</v>
      </c>
      <c r="BY105" s="4" t="s">
        <v>332</v>
      </c>
      <c r="BZ105" s="4" t="s">
        <v>332</v>
      </c>
      <c r="CA105" s="4" t="s">
        <v>332</v>
      </c>
      <c r="CB105" s="4" t="s">
        <v>333</v>
      </c>
      <c r="CC105" s="4" t="s">
        <v>332</v>
      </c>
      <c r="CD105" s="4" t="s">
        <v>332</v>
      </c>
      <c r="CE105" s="4" t="s">
        <v>332</v>
      </c>
      <c r="CF105" s="4" t="s">
        <v>333</v>
      </c>
      <c r="CK105" s="169" t="n">
        <v>44935.6864930556</v>
      </c>
      <c r="CL105" s="169" t="n">
        <v>44935.6864930556</v>
      </c>
      <c r="CQ105" s="4" t="n">
        <v>1000</v>
      </c>
      <c r="CR105" s="4" t="n">
        <v>1.29999995231628</v>
      </c>
      <c r="CS105" s="21" t="n">
        <v>0.0102679999545217</v>
      </c>
      <c r="CT105" s="4" t="n">
        <v>0.600000023841858</v>
      </c>
      <c r="CV105" s="169"/>
      <c r="CW105" s="4" t="s">
        <v>327</v>
      </c>
      <c r="DF105" s="4" t="n">
        <v>0</v>
      </c>
      <c r="DG105" s="4" t="n">
        <v>0</v>
      </c>
      <c r="DH105" s="4" t="n">
        <v>100</v>
      </c>
      <c r="DI105" s="4" t="n">
        <v>0</v>
      </c>
      <c r="DJ105" s="4" t="n">
        <v>0</v>
      </c>
      <c r="DK105" s="4" t="n">
        <v>0</v>
      </c>
      <c r="DL105" s="4" t="n">
        <v>0</v>
      </c>
      <c r="DM105" s="4" t="n">
        <v>0</v>
      </c>
      <c r="DN105" s="4" t="n">
        <v>0</v>
      </c>
      <c r="DO105" s="4" t="n">
        <v>0</v>
      </c>
      <c r="DQ105" s="4" t="n">
        <v>0</v>
      </c>
      <c r="DR105" s="4" t="n">
        <v>0</v>
      </c>
      <c r="DS105" s="4" t="n">
        <v>0</v>
      </c>
      <c r="DT105" s="4" t="n">
        <v>0</v>
      </c>
      <c r="DU105" s="4" t="n">
        <v>0</v>
      </c>
      <c r="DV105" s="4" t="n">
        <v>0</v>
      </c>
      <c r="DW105" s="4" t="n">
        <v>0</v>
      </c>
      <c r="DX105" s="4" t="n">
        <v>0</v>
      </c>
      <c r="DY105" s="4" t="n">
        <v>0</v>
      </c>
      <c r="DZ105" s="4" t="n">
        <v>0</v>
      </c>
      <c r="EA105" s="4" t="n">
        <v>0</v>
      </c>
      <c r="EJ105" s="4" t="s">
        <v>550</v>
      </c>
      <c r="EQ105" s="4" t="s">
        <v>335</v>
      </c>
      <c r="FR105" s="4" t="s">
        <v>356</v>
      </c>
    </row>
    <row r="106" customFormat="false" ht="15.75" hidden="false" customHeight="true" outlineLevel="0" collapsed="false">
      <c r="A106" s="169" t="n">
        <v>45047.375</v>
      </c>
      <c r="B106" s="169" t="n">
        <v>45078.375</v>
      </c>
      <c r="C106" s="4" t="s">
        <v>551</v>
      </c>
      <c r="D106" s="4" t="s">
        <v>552</v>
      </c>
      <c r="E106" s="4" t="n">
        <v>126287.86</v>
      </c>
      <c r="F106" s="4" t="n">
        <v>185516.87</v>
      </c>
      <c r="G106" s="4" t="n">
        <v>625.641029189289</v>
      </c>
      <c r="I106" s="4" t="n">
        <v>155.179369278725</v>
      </c>
      <c r="J106" s="4" t="n">
        <v>56.5311846989625</v>
      </c>
      <c r="K106" s="4" t="n">
        <v>41659.0166666667</v>
      </c>
      <c r="L106" s="4" t="n">
        <v>12.5635911972265</v>
      </c>
      <c r="N106" s="4" t="n">
        <v>1.02815314931224</v>
      </c>
      <c r="P106" s="4" t="s">
        <v>324</v>
      </c>
      <c r="Q106" s="4" t="s">
        <v>325</v>
      </c>
      <c r="T106" s="4" t="s">
        <v>326</v>
      </c>
      <c r="U106" s="4" t="s">
        <v>551</v>
      </c>
      <c r="V106" s="170" t="n">
        <v>43508</v>
      </c>
      <c r="W106" s="4" t="n">
        <v>1</v>
      </c>
      <c r="X106" s="4" t="n">
        <v>9</v>
      </c>
      <c r="AA106" s="4" t="n">
        <v>2.25</v>
      </c>
      <c r="AB106" s="4" t="n">
        <v>68</v>
      </c>
      <c r="AC106" s="4" t="s">
        <v>327</v>
      </c>
      <c r="AD106" s="4" t="n">
        <v>4.02400016784668</v>
      </c>
      <c r="AE106" s="4" t="n">
        <v>68</v>
      </c>
      <c r="AF106" s="4" t="s">
        <v>328</v>
      </c>
      <c r="AG106" s="4" t="s">
        <v>329</v>
      </c>
      <c r="AH106" s="4" t="s">
        <v>330</v>
      </c>
      <c r="AI106" s="4" t="s">
        <v>331</v>
      </c>
      <c r="AR106" s="4" t="s">
        <v>332</v>
      </c>
      <c r="AS106" s="4" t="s">
        <v>332</v>
      </c>
      <c r="AT106" s="4" t="s">
        <v>332</v>
      </c>
      <c r="AU106" s="4" t="s">
        <v>333</v>
      </c>
      <c r="AV106" s="4" t="n">
        <v>2047</v>
      </c>
      <c r="AW106" s="4" t="n">
        <v>0</v>
      </c>
      <c r="AX106" s="4" t="n">
        <v>400</v>
      </c>
      <c r="AY106" s="4" t="n">
        <v>0</v>
      </c>
      <c r="BB106" s="4" t="n">
        <v>2047</v>
      </c>
      <c r="BC106" s="4" t="n">
        <v>0</v>
      </c>
      <c r="BD106" s="4" t="n">
        <v>1513.19995117187</v>
      </c>
      <c r="BE106" s="4" t="n">
        <v>13.1999998092651</v>
      </c>
      <c r="BH106" s="4" t="n">
        <v>420</v>
      </c>
      <c r="BI106" s="4" t="n">
        <v>0</v>
      </c>
      <c r="BN106" s="4" t="n">
        <v>0.25</v>
      </c>
      <c r="BO106" s="4" t="n">
        <v>-3</v>
      </c>
      <c r="BP106" s="4" t="n">
        <v>14.6499996185303</v>
      </c>
      <c r="BQ106" s="4" t="n">
        <v>60</v>
      </c>
      <c r="BR106" s="4" t="n">
        <v>13.1999998092651</v>
      </c>
      <c r="BV106" s="4" t="n">
        <v>1</v>
      </c>
      <c r="BW106" s="4" t="s">
        <v>334</v>
      </c>
      <c r="BX106" s="4" t="n">
        <v>60</v>
      </c>
      <c r="BY106" s="4" t="s">
        <v>332</v>
      </c>
      <c r="BZ106" s="4" t="s">
        <v>332</v>
      </c>
      <c r="CA106" s="4" t="s">
        <v>332</v>
      </c>
      <c r="CB106" s="4" t="s">
        <v>333</v>
      </c>
      <c r="CC106" s="4" t="s">
        <v>332</v>
      </c>
      <c r="CD106" s="4" t="s">
        <v>332</v>
      </c>
      <c r="CE106" s="4" t="s">
        <v>332</v>
      </c>
      <c r="CF106" s="4" t="s">
        <v>333</v>
      </c>
      <c r="CK106" s="169" t="n">
        <v>43531.5672222222</v>
      </c>
      <c r="CL106" s="169"/>
      <c r="CQ106" s="4" t="n">
        <v>1469</v>
      </c>
      <c r="CR106" s="4" t="n">
        <v>1.3</v>
      </c>
      <c r="CS106" s="21" t="n">
        <v>6.9E-006</v>
      </c>
      <c r="CT106" s="4" t="n">
        <v>0.8603</v>
      </c>
      <c r="CU106" s="4" t="s">
        <v>334</v>
      </c>
      <c r="CV106" s="169" t="n">
        <v>45063</v>
      </c>
      <c r="CW106" s="4" t="s">
        <v>327</v>
      </c>
      <c r="CX106" s="4" t="s">
        <v>350</v>
      </c>
      <c r="CY106" s="4" t="n">
        <v>95</v>
      </c>
      <c r="CZ106" s="4" t="n">
        <v>176</v>
      </c>
      <c r="DB106" s="4" t="s">
        <v>341</v>
      </c>
      <c r="DC106" s="4" t="s">
        <v>553</v>
      </c>
      <c r="DD106" s="4" t="s">
        <v>380</v>
      </c>
      <c r="DF106" s="4" t="n">
        <v>0.105</v>
      </c>
      <c r="DG106" s="4" t="n">
        <v>0.712</v>
      </c>
      <c r="DH106" s="4" t="n">
        <v>66.654</v>
      </c>
      <c r="DI106" s="4" t="n">
        <v>13.38</v>
      </c>
      <c r="DJ106" s="4" t="n">
        <v>11.984</v>
      </c>
      <c r="DK106" s="4" t="n">
        <v>1.662</v>
      </c>
      <c r="DL106" s="4" t="n">
        <v>3.55</v>
      </c>
      <c r="DM106" s="4" t="n">
        <v>0.715</v>
      </c>
      <c r="DN106" s="4" t="n">
        <v>0.703</v>
      </c>
      <c r="DO106" s="4" t="n">
        <v>0.535</v>
      </c>
      <c r="EQ106" s="4" t="s">
        <v>335</v>
      </c>
      <c r="FR106" s="4" t="s">
        <v>369</v>
      </c>
    </row>
    <row r="107" customFormat="false" ht="15.75" hidden="false" customHeight="true" outlineLevel="0" collapsed="false">
      <c r="A107" s="169" t="n">
        <v>45047.375</v>
      </c>
      <c r="B107" s="169" t="n">
        <v>45078.375</v>
      </c>
      <c r="C107" s="4" t="s">
        <v>124</v>
      </c>
      <c r="D107" s="4" t="s">
        <v>125</v>
      </c>
      <c r="E107" s="4" t="n">
        <v>77194.55</v>
      </c>
      <c r="F107" s="4" t="n">
        <v>94100.16</v>
      </c>
      <c r="G107" s="4" t="n">
        <v>6.34064547814264</v>
      </c>
      <c r="I107" s="4" t="n">
        <v>972.217909115106</v>
      </c>
      <c r="J107" s="4" t="n">
        <v>91.3907269253312</v>
      </c>
      <c r="K107" s="4" t="n">
        <v>44376.3333333333</v>
      </c>
      <c r="L107" s="4" t="n">
        <v>3.3309877730877</v>
      </c>
      <c r="N107" s="4" t="n">
        <v>1.09937156071903</v>
      </c>
      <c r="P107" s="4" t="s">
        <v>324</v>
      </c>
      <c r="Q107" s="4" t="s">
        <v>325</v>
      </c>
      <c r="T107" s="4" t="s">
        <v>326</v>
      </c>
      <c r="U107" s="4" t="s">
        <v>124</v>
      </c>
      <c r="V107" s="170" t="n">
        <v>43782</v>
      </c>
      <c r="W107" s="4" t="n">
        <v>1</v>
      </c>
      <c r="X107" s="4" t="n">
        <v>9</v>
      </c>
      <c r="AA107" s="4" t="n">
        <v>2.25</v>
      </c>
      <c r="AB107" s="4" t="n">
        <v>68</v>
      </c>
      <c r="AC107" s="4" t="s">
        <v>327</v>
      </c>
      <c r="AD107" s="4" t="n">
        <v>5.76100015640259</v>
      </c>
      <c r="AE107" s="4" t="n">
        <v>68</v>
      </c>
      <c r="AF107" s="4" t="s">
        <v>328</v>
      </c>
      <c r="AG107" s="4" t="s">
        <v>329</v>
      </c>
      <c r="AH107" s="4" t="s">
        <v>330</v>
      </c>
      <c r="AI107" s="4" t="s">
        <v>331</v>
      </c>
      <c r="AR107" s="4" t="s">
        <v>332</v>
      </c>
      <c r="AS107" s="4" t="s">
        <v>332</v>
      </c>
      <c r="AT107" s="4" t="s">
        <v>332</v>
      </c>
      <c r="AU107" s="4" t="s">
        <v>333</v>
      </c>
      <c r="AV107" s="4" t="n">
        <v>2047</v>
      </c>
      <c r="AW107" s="4" t="n">
        <v>0</v>
      </c>
      <c r="AX107" s="4" t="n">
        <v>400</v>
      </c>
      <c r="AY107" s="4" t="n">
        <v>0</v>
      </c>
      <c r="BB107" s="4" t="n">
        <v>2047</v>
      </c>
      <c r="BC107" s="4" t="n">
        <v>0</v>
      </c>
      <c r="BD107" s="4" t="n">
        <v>1513.19995117187</v>
      </c>
      <c r="BE107" s="4" t="n">
        <v>13.1999998092651</v>
      </c>
      <c r="BH107" s="4" t="n">
        <v>420</v>
      </c>
      <c r="BI107" s="4" t="n">
        <v>0</v>
      </c>
      <c r="BN107" s="4" t="n">
        <v>0.5</v>
      </c>
      <c r="BO107" s="4" t="n">
        <v>-3</v>
      </c>
      <c r="BP107" s="4" t="n">
        <v>14.6499996185303</v>
      </c>
      <c r="BQ107" s="4" t="n">
        <v>60</v>
      </c>
      <c r="BR107" s="4" t="n">
        <v>13.1999998092651</v>
      </c>
      <c r="BV107" s="4" t="n">
        <v>1</v>
      </c>
      <c r="BW107" s="4" t="s">
        <v>334</v>
      </c>
      <c r="BX107" s="4" t="n">
        <v>60</v>
      </c>
      <c r="BY107" s="4" t="s">
        <v>332</v>
      </c>
      <c r="BZ107" s="4" t="s">
        <v>332</v>
      </c>
      <c r="CA107" s="4" t="s">
        <v>332</v>
      </c>
      <c r="CB107" s="4" t="s">
        <v>333</v>
      </c>
      <c r="CC107" s="4" t="s">
        <v>332</v>
      </c>
      <c r="CD107" s="4" t="s">
        <v>332</v>
      </c>
      <c r="CE107" s="4" t="s">
        <v>332</v>
      </c>
      <c r="CF107" s="4" t="s">
        <v>333</v>
      </c>
      <c r="CK107" s="169" t="n">
        <v>44867.510474537</v>
      </c>
      <c r="CL107" s="169" t="n">
        <v>44867.510474537</v>
      </c>
      <c r="CQ107" s="4" t="n">
        <v>1219</v>
      </c>
      <c r="CR107" s="4" t="n">
        <v>1.3</v>
      </c>
      <c r="CS107" s="21" t="n">
        <v>6.9E-006</v>
      </c>
      <c r="CT107" s="4" t="n">
        <v>0.7006</v>
      </c>
      <c r="CU107" s="4" t="s">
        <v>334</v>
      </c>
      <c r="CV107" s="169" t="n">
        <v>45073</v>
      </c>
      <c r="CW107" s="4" t="s">
        <v>327</v>
      </c>
      <c r="CX107" s="4" t="s">
        <v>340</v>
      </c>
      <c r="CY107" s="4" t="n">
        <v>85</v>
      </c>
      <c r="CZ107" s="4" t="n">
        <v>1000</v>
      </c>
      <c r="DB107" s="4" t="s">
        <v>363</v>
      </c>
      <c r="DC107" s="4" t="s">
        <v>554</v>
      </c>
      <c r="DD107" s="4" t="s">
        <v>360</v>
      </c>
      <c r="DF107" s="4" t="n">
        <v>0.097</v>
      </c>
      <c r="DG107" s="4" t="n">
        <v>0.852</v>
      </c>
      <c r="DH107" s="4" t="n">
        <v>81.583</v>
      </c>
      <c r="DI107" s="4" t="n">
        <v>10.665</v>
      </c>
      <c r="DJ107" s="4" t="n">
        <v>3.944</v>
      </c>
      <c r="DK107" s="4" t="n">
        <v>0.632</v>
      </c>
      <c r="DL107" s="4" t="n">
        <v>1.129</v>
      </c>
      <c r="DM107" s="4" t="n">
        <v>0.308</v>
      </c>
      <c r="DN107" s="4" t="n">
        <v>0.317</v>
      </c>
      <c r="DO107" s="4" t="n">
        <v>0.473</v>
      </c>
      <c r="EQ107" s="4" t="s">
        <v>335</v>
      </c>
      <c r="FR107" s="4" t="s">
        <v>369</v>
      </c>
    </row>
    <row r="108" customFormat="false" ht="15.75" hidden="false" customHeight="true" outlineLevel="0" collapsed="false">
      <c r="A108" s="169" t="n">
        <v>45047.375</v>
      </c>
      <c r="B108" s="169" t="n">
        <v>45078.375</v>
      </c>
      <c r="C108" s="4" t="s">
        <v>128</v>
      </c>
      <c r="D108" s="4" t="s">
        <v>129</v>
      </c>
      <c r="E108" s="4" t="n">
        <v>699206.19</v>
      </c>
      <c r="F108" s="4" t="n">
        <v>869113.29</v>
      </c>
      <c r="G108" s="4" t="n">
        <v>148.236111108037</v>
      </c>
      <c r="I108" s="4" t="n">
        <v>1127.61348185421</v>
      </c>
      <c r="J108" s="4" t="n">
        <v>102.753729330472</v>
      </c>
      <c r="K108" s="4" t="n">
        <v>44630.95</v>
      </c>
      <c r="L108" s="4" t="n">
        <v>17.0440220022038</v>
      </c>
      <c r="N108" s="4" t="n">
        <v>1.11338028189316</v>
      </c>
      <c r="P108" s="4" t="s">
        <v>324</v>
      </c>
      <c r="Q108" s="4" t="s">
        <v>325</v>
      </c>
      <c r="T108" s="4" t="s">
        <v>326</v>
      </c>
      <c r="U108" s="4" t="s">
        <v>128</v>
      </c>
      <c r="V108" s="170" t="n">
        <v>43782</v>
      </c>
      <c r="W108" s="4" t="n">
        <v>1</v>
      </c>
      <c r="X108" s="4" t="n">
        <v>9</v>
      </c>
      <c r="AA108" s="4" t="n">
        <v>3</v>
      </c>
      <c r="AB108" s="4" t="n">
        <v>68</v>
      </c>
      <c r="AC108" s="4" t="s">
        <v>327</v>
      </c>
      <c r="AD108" s="4" t="n">
        <v>6.06500005722046</v>
      </c>
      <c r="AE108" s="4" t="n">
        <v>68</v>
      </c>
      <c r="AF108" s="4" t="s">
        <v>328</v>
      </c>
      <c r="AG108" s="4" t="s">
        <v>329</v>
      </c>
      <c r="AH108" s="4" t="s">
        <v>330</v>
      </c>
      <c r="AI108" s="4" t="s">
        <v>331</v>
      </c>
      <c r="AR108" s="4" t="s">
        <v>332</v>
      </c>
      <c r="AS108" s="4" t="s">
        <v>332</v>
      </c>
      <c r="AT108" s="4" t="s">
        <v>332</v>
      </c>
      <c r="AU108" s="4" t="s">
        <v>333</v>
      </c>
      <c r="AV108" s="4" t="n">
        <v>2047</v>
      </c>
      <c r="AW108" s="4" t="n">
        <v>0</v>
      </c>
      <c r="AX108" s="4" t="n">
        <v>400</v>
      </c>
      <c r="AY108" s="4" t="n">
        <v>0</v>
      </c>
      <c r="BB108" s="4" t="n">
        <v>2047</v>
      </c>
      <c r="BC108" s="4" t="n">
        <v>0</v>
      </c>
      <c r="BD108" s="4" t="n">
        <v>1213.19995117187</v>
      </c>
      <c r="BE108" s="4" t="n">
        <v>13.1999998092651</v>
      </c>
      <c r="BH108" s="4" t="n">
        <v>420</v>
      </c>
      <c r="BI108" s="4" t="n">
        <v>0</v>
      </c>
      <c r="BN108" s="4" t="n">
        <v>0.5</v>
      </c>
      <c r="BO108" s="4" t="n">
        <v>-3</v>
      </c>
      <c r="BP108" s="4" t="n">
        <v>14.6499996185303</v>
      </c>
      <c r="BQ108" s="4" t="n">
        <v>60</v>
      </c>
      <c r="BR108" s="4" t="n">
        <v>13.1999998092651</v>
      </c>
      <c r="BV108" s="4" t="n">
        <v>1</v>
      </c>
      <c r="BW108" s="4" t="s">
        <v>334</v>
      </c>
      <c r="BX108" s="4" t="n">
        <v>60</v>
      </c>
      <c r="BY108" s="4" t="s">
        <v>332</v>
      </c>
      <c r="BZ108" s="4" t="s">
        <v>332</v>
      </c>
      <c r="CA108" s="4" t="s">
        <v>332</v>
      </c>
      <c r="CB108" s="4" t="s">
        <v>333</v>
      </c>
      <c r="CC108" s="4" t="s">
        <v>332</v>
      </c>
      <c r="CD108" s="4" t="s">
        <v>332</v>
      </c>
      <c r="CE108" s="4" t="s">
        <v>332</v>
      </c>
      <c r="CF108" s="4" t="s">
        <v>333</v>
      </c>
      <c r="CK108" s="169" t="n">
        <v>43531.5672222222</v>
      </c>
      <c r="CL108" s="169"/>
      <c r="CQ108" s="4" t="n">
        <v>1243</v>
      </c>
      <c r="CR108" s="4" t="n">
        <v>1.3</v>
      </c>
      <c r="CS108" s="21" t="n">
        <v>6.9E-006</v>
      </c>
      <c r="CT108" s="4" t="n">
        <v>0.7216</v>
      </c>
      <c r="CU108" s="4" t="s">
        <v>334</v>
      </c>
      <c r="CV108" s="169" t="n">
        <v>45071</v>
      </c>
      <c r="CW108" s="4" t="s">
        <v>327</v>
      </c>
      <c r="CX108" s="4" t="s">
        <v>393</v>
      </c>
      <c r="CY108" s="4" t="n">
        <v>107</v>
      </c>
      <c r="CZ108" s="4" t="n">
        <v>1167</v>
      </c>
      <c r="DB108" s="4" t="s">
        <v>363</v>
      </c>
      <c r="DC108" s="4" t="s">
        <v>555</v>
      </c>
      <c r="DD108" s="4" t="s">
        <v>365</v>
      </c>
      <c r="DF108" s="4" t="n">
        <v>0.33</v>
      </c>
      <c r="DG108" s="4" t="n">
        <v>0.995</v>
      </c>
      <c r="DH108" s="4" t="n">
        <v>79.627</v>
      </c>
      <c r="DI108" s="4" t="n">
        <v>10.917</v>
      </c>
      <c r="DJ108" s="4" t="n">
        <v>4.757</v>
      </c>
      <c r="DK108" s="4" t="n">
        <v>0.662</v>
      </c>
      <c r="DL108" s="4" t="n">
        <v>1.447</v>
      </c>
      <c r="DM108" s="4" t="n">
        <v>0.339</v>
      </c>
      <c r="DN108" s="4" t="n">
        <v>0.365</v>
      </c>
      <c r="DO108" s="4" t="n">
        <v>0.561</v>
      </c>
      <c r="EQ108" s="4" t="s">
        <v>335</v>
      </c>
      <c r="FR108" s="4" t="s">
        <v>495</v>
      </c>
    </row>
    <row r="109" customFormat="false" ht="15.75" hidden="false" customHeight="true" outlineLevel="0" collapsed="false">
      <c r="A109" s="169" t="n">
        <v>45047.375</v>
      </c>
      <c r="B109" s="169" t="n">
        <v>45078.375</v>
      </c>
      <c r="C109" s="4" t="s">
        <v>556</v>
      </c>
      <c r="D109" s="4" t="s">
        <v>557</v>
      </c>
      <c r="E109" s="4" t="n">
        <v>0</v>
      </c>
      <c r="F109" s="4" t="n">
        <v>0</v>
      </c>
      <c r="G109" s="4" t="n">
        <v>0</v>
      </c>
      <c r="I109" s="4" t="n">
        <v>109.589854271181</v>
      </c>
      <c r="J109" s="4" t="n">
        <v>78.0387204231754</v>
      </c>
      <c r="K109" s="4" t="n">
        <v>0</v>
      </c>
      <c r="L109" s="4" t="n">
        <v>0</v>
      </c>
      <c r="P109" s="4" t="s">
        <v>324</v>
      </c>
      <c r="Q109" s="4" t="s">
        <v>325</v>
      </c>
      <c r="T109" s="4" t="s">
        <v>326</v>
      </c>
      <c r="U109" s="4" t="s">
        <v>556</v>
      </c>
      <c r="V109" s="170" t="n">
        <v>43822</v>
      </c>
      <c r="W109" s="4" t="n">
        <v>1</v>
      </c>
      <c r="X109" s="4" t="n">
        <v>9</v>
      </c>
      <c r="AA109" s="4" t="n">
        <v>1</v>
      </c>
      <c r="AB109" s="4" t="n">
        <v>68</v>
      </c>
      <c r="AC109" s="4" t="s">
        <v>327</v>
      </c>
      <c r="AD109" s="4" t="n">
        <v>1.94099998474121</v>
      </c>
      <c r="AE109" s="4" t="n">
        <v>68</v>
      </c>
      <c r="AF109" s="4" t="s">
        <v>328</v>
      </c>
      <c r="AG109" s="4" t="s">
        <v>329</v>
      </c>
      <c r="AH109" s="4" t="s">
        <v>330</v>
      </c>
      <c r="AI109" s="4" t="s">
        <v>331</v>
      </c>
      <c r="AR109" s="4" t="s">
        <v>332</v>
      </c>
      <c r="AS109" s="4" t="s">
        <v>332</v>
      </c>
      <c r="AT109" s="4" t="s">
        <v>332</v>
      </c>
      <c r="AU109" s="4" t="s">
        <v>333</v>
      </c>
      <c r="AV109" s="4" t="n">
        <v>2047</v>
      </c>
      <c r="AW109" s="4" t="n">
        <v>0</v>
      </c>
      <c r="AX109" s="4" t="n">
        <v>400</v>
      </c>
      <c r="AY109" s="4" t="n">
        <v>0</v>
      </c>
      <c r="BB109" s="4" t="n">
        <v>2047.96875</v>
      </c>
      <c r="BC109" s="4" t="n">
        <v>0</v>
      </c>
      <c r="BD109" s="4" t="n">
        <v>1514.28491210938</v>
      </c>
      <c r="BE109" s="4" t="n">
        <v>14.2828388214111</v>
      </c>
      <c r="BH109" s="4" t="n">
        <v>420</v>
      </c>
      <c r="BI109" s="4" t="n">
        <v>0</v>
      </c>
      <c r="BN109" s="4" t="n">
        <v>0.5</v>
      </c>
      <c r="BO109" s="4" t="n">
        <v>-3</v>
      </c>
      <c r="BP109" s="4" t="n">
        <v>14.65</v>
      </c>
      <c r="BQ109" s="4" t="n">
        <v>60</v>
      </c>
      <c r="BR109" s="4" t="n">
        <v>13.2</v>
      </c>
      <c r="BV109" s="4" t="n">
        <v>1</v>
      </c>
      <c r="BW109" s="4" t="s">
        <v>334</v>
      </c>
      <c r="BX109" s="4" t="n">
        <v>60</v>
      </c>
      <c r="BY109" s="4" t="s">
        <v>332</v>
      </c>
      <c r="BZ109" s="4" t="s">
        <v>332</v>
      </c>
      <c r="CA109" s="4" t="s">
        <v>332</v>
      </c>
      <c r="CB109" s="4" t="s">
        <v>333</v>
      </c>
      <c r="CC109" s="4" t="s">
        <v>332</v>
      </c>
      <c r="CD109" s="4" t="s">
        <v>332</v>
      </c>
      <c r="CE109" s="4" t="s">
        <v>332</v>
      </c>
      <c r="CF109" s="4" t="s">
        <v>333</v>
      </c>
      <c r="CK109" s="169" t="n">
        <v>44935.6864930556</v>
      </c>
      <c r="CL109" s="169" t="n">
        <v>44935.6864930556</v>
      </c>
      <c r="CQ109" s="4" t="n">
        <v>1199.51</v>
      </c>
      <c r="CR109" s="4" t="n">
        <v>1.29999995231628</v>
      </c>
      <c r="CS109" s="21" t="n">
        <v>0.0102679999545217</v>
      </c>
      <c r="CT109" s="4" t="n">
        <v>0.6845</v>
      </c>
      <c r="CU109" s="4" t="s">
        <v>334</v>
      </c>
      <c r="CV109" s="169" t="n">
        <v>44713</v>
      </c>
      <c r="CW109" s="4" t="s">
        <v>327</v>
      </c>
      <c r="DF109" s="4" t="n">
        <v>0.263</v>
      </c>
      <c r="DG109" s="4" t="n">
        <v>0.657</v>
      </c>
      <c r="DH109" s="4" t="n">
        <v>84.248</v>
      </c>
      <c r="DI109" s="4" t="n">
        <v>8.16999999999999</v>
      </c>
      <c r="DJ109" s="4" t="n">
        <v>4.034</v>
      </c>
      <c r="DK109" s="4" t="n">
        <v>0.485</v>
      </c>
      <c r="DL109" s="4" t="n">
        <v>1.223</v>
      </c>
      <c r="DM109" s="4" t="n">
        <v>0.293</v>
      </c>
      <c r="DN109" s="4" t="n">
        <v>0.334</v>
      </c>
      <c r="DO109" s="4" t="n">
        <v>0.293</v>
      </c>
      <c r="EQ109" s="4" t="s">
        <v>335</v>
      </c>
      <c r="FR109" s="4" t="s">
        <v>356</v>
      </c>
    </row>
    <row r="110" customFormat="false" ht="15.75" hidden="false" customHeight="true" outlineLevel="0" collapsed="false">
      <c r="A110" s="169" t="n">
        <v>45047.375</v>
      </c>
      <c r="B110" s="169" t="n">
        <v>45078.375</v>
      </c>
      <c r="C110" s="4" t="s">
        <v>132</v>
      </c>
      <c r="D110" s="4" t="s">
        <v>133</v>
      </c>
      <c r="E110" s="4" t="n">
        <v>482919.68</v>
      </c>
      <c r="F110" s="4" t="n">
        <v>601235</v>
      </c>
      <c r="G110" s="4" t="n">
        <v>87.9589590886089</v>
      </c>
      <c r="I110" s="4" t="n">
        <v>1116.76432966196</v>
      </c>
      <c r="J110" s="4" t="n">
        <v>123.618921565383</v>
      </c>
      <c r="K110" s="4" t="n">
        <v>44639.95</v>
      </c>
      <c r="L110" s="4" t="n">
        <v>12.9178511935243</v>
      </c>
      <c r="N110" s="4" t="n">
        <v>1.09393673102116</v>
      </c>
      <c r="P110" s="4" t="s">
        <v>324</v>
      </c>
      <c r="Q110" s="4" t="s">
        <v>325</v>
      </c>
      <c r="T110" s="4" t="s">
        <v>326</v>
      </c>
      <c r="U110" s="4" t="s">
        <v>132</v>
      </c>
      <c r="V110" s="170" t="n">
        <v>43885</v>
      </c>
      <c r="W110" s="4" t="n">
        <v>1</v>
      </c>
      <c r="X110" s="4" t="n">
        <v>9</v>
      </c>
      <c r="AA110" s="4" t="n">
        <v>2.875</v>
      </c>
      <c r="AB110" s="4" t="n">
        <v>68</v>
      </c>
      <c r="AC110" s="4" t="s">
        <v>327</v>
      </c>
      <c r="AD110" s="4" t="n">
        <v>6.06500005722046</v>
      </c>
      <c r="AE110" s="4" t="n">
        <v>68</v>
      </c>
      <c r="AF110" s="4" t="s">
        <v>328</v>
      </c>
      <c r="AG110" s="4" t="s">
        <v>329</v>
      </c>
      <c r="AH110" s="4" t="s">
        <v>330</v>
      </c>
      <c r="AI110" s="4" t="s">
        <v>331</v>
      </c>
      <c r="AR110" s="4" t="s">
        <v>332</v>
      </c>
      <c r="AS110" s="4" t="s">
        <v>332</v>
      </c>
      <c r="AT110" s="4" t="s">
        <v>332</v>
      </c>
      <c r="AU110" s="4" t="s">
        <v>333</v>
      </c>
      <c r="AV110" s="4" t="n">
        <v>2047</v>
      </c>
      <c r="AW110" s="4" t="n">
        <v>0</v>
      </c>
      <c r="AX110" s="4" t="n">
        <v>400</v>
      </c>
      <c r="AY110" s="4" t="n">
        <v>0</v>
      </c>
      <c r="BB110" s="4" t="n">
        <v>2047</v>
      </c>
      <c r="BC110" s="4" t="n">
        <v>0</v>
      </c>
      <c r="BD110" s="4" t="n">
        <v>1514.72998046875</v>
      </c>
      <c r="BE110" s="4" t="n">
        <v>14.7299995422363</v>
      </c>
      <c r="BH110" s="4" t="n">
        <v>420</v>
      </c>
      <c r="BI110" s="4" t="n">
        <v>0</v>
      </c>
      <c r="BN110" s="4" t="n">
        <v>0.5</v>
      </c>
      <c r="BO110" s="4" t="n">
        <v>-3</v>
      </c>
      <c r="BP110" s="4" t="n">
        <v>14.6499996185303</v>
      </c>
      <c r="BQ110" s="4" t="n">
        <v>60</v>
      </c>
      <c r="BR110" s="4" t="n">
        <v>13.1999998092651</v>
      </c>
      <c r="BV110" s="4" t="n">
        <v>1</v>
      </c>
      <c r="BW110" s="4" t="s">
        <v>334</v>
      </c>
      <c r="BX110" s="4" t="n">
        <v>60</v>
      </c>
      <c r="BY110" s="4" t="s">
        <v>332</v>
      </c>
      <c r="BZ110" s="4" t="s">
        <v>332</v>
      </c>
      <c r="CA110" s="4" t="s">
        <v>332</v>
      </c>
      <c r="CB110" s="4" t="s">
        <v>333</v>
      </c>
      <c r="CC110" s="4" t="s">
        <v>332</v>
      </c>
      <c r="CD110" s="4" t="s">
        <v>332</v>
      </c>
      <c r="CE110" s="4" t="s">
        <v>332</v>
      </c>
      <c r="CF110" s="4" t="s">
        <v>333</v>
      </c>
      <c r="CK110" s="169" t="n">
        <v>44929.5970717593</v>
      </c>
      <c r="CL110" s="169" t="n">
        <v>44929.5970717593</v>
      </c>
      <c r="CQ110" s="4" t="n">
        <v>1245</v>
      </c>
      <c r="CR110" s="4" t="n">
        <v>1.3</v>
      </c>
      <c r="CS110" s="21" t="n">
        <v>6.9E-006</v>
      </c>
      <c r="CT110" s="4" t="n">
        <v>0.7241</v>
      </c>
      <c r="CU110" s="4" t="s">
        <v>334</v>
      </c>
      <c r="CV110" s="169" t="n">
        <v>45065</v>
      </c>
      <c r="CW110" s="4" t="s">
        <v>327</v>
      </c>
      <c r="CX110" s="4" t="s">
        <v>393</v>
      </c>
      <c r="CY110" s="4" t="n">
        <v>137</v>
      </c>
      <c r="CZ110" s="4" t="n">
        <v>1064</v>
      </c>
      <c r="DB110" s="4" t="s">
        <v>363</v>
      </c>
      <c r="DC110" s="4" t="s">
        <v>465</v>
      </c>
      <c r="DD110" s="4" t="s">
        <v>365</v>
      </c>
      <c r="DF110" s="4" t="n">
        <v>0.169</v>
      </c>
      <c r="DG110" s="4" t="n">
        <v>1.369</v>
      </c>
      <c r="DH110" s="4" t="n">
        <v>79.224</v>
      </c>
      <c r="DI110" s="4" t="n">
        <v>10.904</v>
      </c>
      <c r="DJ110" s="4" t="n">
        <v>4.714</v>
      </c>
      <c r="DK110" s="4" t="n">
        <v>0.747</v>
      </c>
      <c r="DL110" s="4" t="n">
        <v>1.59</v>
      </c>
      <c r="DM110" s="4" t="n">
        <v>0.395</v>
      </c>
      <c r="DN110" s="4" t="n">
        <v>0.426</v>
      </c>
      <c r="DO110" s="4" t="n">
        <v>0.462</v>
      </c>
      <c r="EQ110" s="4" t="s">
        <v>335</v>
      </c>
      <c r="FR110" s="4" t="s">
        <v>369</v>
      </c>
    </row>
    <row r="111" customFormat="false" ht="15.75" hidden="false" customHeight="true" outlineLevel="0" collapsed="false">
      <c r="A111" s="169" t="n">
        <v>45047.4166666667</v>
      </c>
      <c r="B111" s="169" t="n">
        <v>45078.4166666667</v>
      </c>
      <c r="C111" s="4" t="s">
        <v>136</v>
      </c>
      <c r="D111" s="4" t="s">
        <v>137</v>
      </c>
      <c r="E111" s="4" t="n">
        <v>841995.11</v>
      </c>
      <c r="F111" s="4" t="n">
        <v>1082805.71</v>
      </c>
      <c r="G111" s="4" t="n">
        <v>80.75160369064</v>
      </c>
      <c r="I111" s="4" t="n">
        <v>1065.71177114399</v>
      </c>
      <c r="J111" s="4" t="n">
        <v>112.985860632747</v>
      </c>
      <c r="K111" s="4" t="n">
        <v>44251.45</v>
      </c>
      <c r="L111" s="4" t="n">
        <v>294.243197639245</v>
      </c>
      <c r="N111" s="4" t="n">
        <v>1.11022103524954</v>
      </c>
      <c r="P111" s="4" t="s">
        <v>367</v>
      </c>
      <c r="Q111" s="4" t="s">
        <v>325</v>
      </c>
      <c r="T111" s="4" t="s">
        <v>326</v>
      </c>
      <c r="U111" s="4" t="s">
        <v>136</v>
      </c>
      <c r="V111" s="170" t="n">
        <v>43936</v>
      </c>
      <c r="W111" s="4" t="n">
        <v>1</v>
      </c>
      <c r="X111" s="4" t="n">
        <v>9</v>
      </c>
      <c r="AA111" s="4" t="n">
        <v>3.75</v>
      </c>
      <c r="AB111" s="4" t="n">
        <v>68</v>
      </c>
      <c r="AC111" s="4" t="s">
        <v>327</v>
      </c>
      <c r="AD111" s="4" t="n">
        <v>5.76100015640259</v>
      </c>
      <c r="AE111" s="4" t="n">
        <v>68</v>
      </c>
      <c r="AF111" s="4" t="s">
        <v>328</v>
      </c>
      <c r="AG111" s="4" t="s">
        <v>368</v>
      </c>
      <c r="AH111" s="4" t="s">
        <v>330</v>
      </c>
      <c r="AI111" s="4" t="s">
        <v>331</v>
      </c>
      <c r="AR111" s="4" t="s">
        <v>332</v>
      </c>
      <c r="AS111" s="4" t="s">
        <v>332</v>
      </c>
      <c r="AT111" s="4" t="s">
        <v>332</v>
      </c>
      <c r="AU111" s="4" t="s">
        <v>333</v>
      </c>
      <c r="AV111" s="4" t="n">
        <v>250</v>
      </c>
      <c r="AW111" s="4" t="n">
        <v>0</v>
      </c>
      <c r="AX111" s="4" t="n">
        <v>249.999984741211</v>
      </c>
      <c r="AY111" s="4" t="n">
        <v>0</v>
      </c>
      <c r="BB111" s="4" t="n">
        <v>800.644714355469</v>
      </c>
      <c r="BC111" s="4" t="n">
        <v>0</v>
      </c>
      <c r="BD111" s="4" t="n">
        <v>1500</v>
      </c>
      <c r="BE111" s="4" t="n">
        <v>0</v>
      </c>
      <c r="BH111" s="4" t="n">
        <v>800.599975585937</v>
      </c>
      <c r="BI111" s="4" t="n">
        <v>-459.399993896484</v>
      </c>
      <c r="BJ111" s="4" t="n">
        <v>140</v>
      </c>
      <c r="BK111" s="4" t="n">
        <v>32</v>
      </c>
      <c r="BN111" s="4" t="n">
        <v>0.5</v>
      </c>
      <c r="BO111" s="4" t="n">
        <v>-3</v>
      </c>
      <c r="BP111" s="4" t="n">
        <v>14.6499996185303</v>
      </c>
      <c r="BQ111" s="4" t="n">
        <v>60</v>
      </c>
      <c r="BR111" s="4" t="n">
        <v>13.1999998092651</v>
      </c>
      <c r="BV111" s="4" t="n">
        <v>1</v>
      </c>
      <c r="BW111" s="4" t="s">
        <v>334</v>
      </c>
      <c r="BX111" s="4" t="n">
        <v>60</v>
      </c>
      <c r="BY111" s="4" t="s">
        <v>333</v>
      </c>
      <c r="BZ111" s="4" t="s">
        <v>333</v>
      </c>
      <c r="CA111" s="4" t="s">
        <v>333</v>
      </c>
      <c r="CB111" s="4" t="s">
        <v>333</v>
      </c>
      <c r="CC111" s="4" t="s">
        <v>333</v>
      </c>
      <c r="CD111" s="4" t="s">
        <v>333</v>
      </c>
      <c r="CE111" s="4" t="s">
        <v>332</v>
      </c>
      <c r="CF111" s="4" t="s">
        <v>333</v>
      </c>
      <c r="CK111" s="169" t="n">
        <v>43531.5672222222</v>
      </c>
      <c r="CN111" s="4" t="n">
        <v>500</v>
      </c>
      <c r="CO111" s="4" t="n">
        <v>35</v>
      </c>
      <c r="CQ111" s="4" t="n">
        <v>1286</v>
      </c>
      <c r="CR111" s="4" t="n">
        <v>1.3</v>
      </c>
      <c r="CS111" s="21" t="n">
        <v>6.9E-006</v>
      </c>
      <c r="CT111" s="4" t="n">
        <v>0.7445</v>
      </c>
      <c r="CU111" s="4" t="s">
        <v>334</v>
      </c>
      <c r="CV111" s="169" t="n">
        <v>45074</v>
      </c>
      <c r="CW111" s="4" t="s">
        <v>327</v>
      </c>
      <c r="CX111" s="4" t="s">
        <v>340</v>
      </c>
      <c r="CY111" s="4" t="n">
        <v>128</v>
      </c>
      <c r="CZ111" s="4" t="n">
        <v>1067</v>
      </c>
      <c r="DB111" s="4" t="s">
        <v>386</v>
      </c>
      <c r="DC111" s="4" t="s">
        <v>475</v>
      </c>
      <c r="DD111" s="4" t="s">
        <v>360</v>
      </c>
      <c r="DF111" s="4" t="n">
        <v>0.135</v>
      </c>
      <c r="DG111" s="4" t="n">
        <v>0.866</v>
      </c>
      <c r="DH111" s="4" t="n">
        <v>78.175</v>
      </c>
      <c r="DI111" s="4" t="n">
        <v>11.344</v>
      </c>
      <c r="DJ111" s="4" t="n">
        <v>5.072</v>
      </c>
      <c r="DK111" s="4" t="n">
        <v>0.771</v>
      </c>
      <c r="DL111" s="4" t="n">
        <v>1.767</v>
      </c>
      <c r="DM111" s="4" t="n">
        <v>0.506</v>
      </c>
      <c r="DN111" s="4" t="n">
        <v>0.536</v>
      </c>
      <c r="DO111" s="4" t="n">
        <v>0.828</v>
      </c>
      <c r="EQ111" s="4" t="s">
        <v>335</v>
      </c>
    </row>
    <row r="112" customFormat="false" ht="15.75" hidden="false" customHeight="true" outlineLevel="0" collapsed="false">
      <c r="A112" s="169" t="n">
        <v>45047.4166666667</v>
      </c>
      <c r="B112" s="169" t="n">
        <v>45078.4166666667</v>
      </c>
      <c r="C112" s="4" t="s">
        <v>139</v>
      </c>
      <c r="D112" s="4" t="s">
        <v>140</v>
      </c>
      <c r="E112" s="4" t="n">
        <v>59928.46</v>
      </c>
      <c r="F112" s="4" t="n">
        <v>71374.8</v>
      </c>
      <c r="G112" s="4" t="n">
        <v>37.9347358930386</v>
      </c>
      <c r="I112" s="4" t="n">
        <v>1062.77140588604</v>
      </c>
      <c r="J112" s="4" t="n">
        <v>93.2132081374826</v>
      </c>
      <c r="K112" s="4" t="n">
        <v>43893.0833333333</v>
      </c>
      <c r="L112" s="4" t="n">
        <v>199.71490637604</v>
      </c>
      <c r="N112" s="4" t="n">
        <v>1.09838351643153</v>
      </c>
      <c r="P112" s="4" t="s">
        <v>367</v>
      </c>
      <c r="Q112" s="4" t="s">
        <v>325</v>
      </c>
      <c r="T112" s="4" t="s">
        <v>326</v>
      </c>
      <c r="U112" s="4" t="s">
        <v>139</v>
      </c>
      <c r="V112" s="170" t="n">
        <v>44089</v>
      </c>
      <c r="W112" s="4" t="n">
        <v>1</v>
      </c>
      <c r="X112" s="4" t="n">
        <v>9</v>
      </c>
      <c r="AA112" s="4" t="n">
        <v>1.25</v>
      </c>
      <c r="AB112" s="4" t="n">
        <v>68</v>
      </c>
      <c r="AC112" s="4" t="s">
        <v>327</v>
      </c>
      <c r="AD112" s="4" t="n">
        <v>4.02600002288818</v>
      </c>
      <c r="AE112" s="4" t="n">
        <v>68</v>
      </c>
      <c r="AF112" s="4" t="s">
        <v>328</v>
      </c>
      <c r="AG112" s="4" t="s">
        <v>329</v>
      </c>
      <c r="AH112" s="4" t="s">
        <v>330</v>
      </c>
      <c r="AI112" s="4" t="s">
        <v>331</v>
      </c>
      <c r="AR112" s="4" t="s">
        <v>332</v>
      </c>
      <c r="AS112" s="4" t="s">
        <v>332</v>
      </c>
      <c r="AT112" s="4" t="s">
        <v>332</v>
      </c>
      <c r="AU112" s="4" t="s">
        <v>333</v>
      </c>
      <c r="AV112" s="4" t="n">
        <v>250</v>
      </c>
      <c r="AW112" s="4" t="n">
        <v>0</v>
      </c>
      <c r="AX112" s="4" t="n">
        <v>249.999984741211</v>
      </c>
      <c r="AY112" s="4" t="n">
        <v>0</v>
      </c>
      <c r="BB112" s="4" t="n">
        <v>800.644714355469</v>
      </c>
      <c r="BC112" s="4" t="n">
        <v>0</v>
      </c>
      <c r="BD112" s="4" t="n">
        <v>1200</v>
      </c>
      <c r="BE112" s="4" t="n">
        <v>0</v>
      </c>
      <c r="BH112" s="4" t="n">
        <v>800.599975585937</v>
      </c>
      <c r="BI112" s="4" t="n">
        <v>-459.399993896484</v>
      </c>
      <c r="BJ112" s="4" t="n">
        <v>140</v>
      </c>
      <c r="BK112" s="4" t="n">
        <v>32</v>
      </c>
      <c r="BN112" s="4" t="n">
        <v>0.5</v>
      </c>
      <c r="BO112" s="4" t="n">
        <v>-3</v>
      </c>
      <c r="BP112" s="4" t="n">
        <v>14.6499996185303</v>
      </c>
      <c r="BQ112" s="4" t="n">
        <v>60</v>
      </c>
      <c r="BR112" s="4" t="n">
        <v>13.1999998092651</v>
      </c>
      <c r="BV112" s="4" t="n">
        <v>1</v>
      </c>
      <c r="BW112" s="4" t="s">
        <v>334</v>
      </c>
      <c r="BX112" s="4" t="n">
        <v>60</v>
      </c>
      <c r="BY112" s="4" t="s">
        <v>333</v>
      </c>
      <c r="BZ112" s="4" t="s">
        <v>333</v>
      </c>
      <c r="CA112" s="4" t="s">
        <v>333</v>
      </c>
      <c r="CB112" s="4" t="s">
        <v>333</v>
      </c>
      <c r="CC112" s="4" t="s">
        <v>333</v>
      </c>
      <c r="CD112" s="4" t="s">
        <v>333</v>
      </c>
      <c r="CE112" s="4" t="s">
        <v>332</v>
      </c>
      <c r="CF112" s="4" t="s">
        <v>333</v>
      </c>
      <c r="CK112" s="169" t="n">
        <v>43531.5672222222</v>
      </c>
      <c r="CN112" s="4" t="n">
        <v>500</v>
      </c>
      <c r="CO112" s="4" t="n">
        <v>35</v>
      </c>
      <c r="CQ112" s="4" t="n">
        <v>1191</v>
      </c>
      <c r="CR112" s="4" t="n">
        <v>1.3</v>
      </c>
      <c r="CS112" s="21" t="n">
        <v>6.9E-006</v>
      </c>
      <c r="CT112" s="4" t="n">
        <v>0.682</v>
      </c>
      <c r="CU112" s="4" t="s">
        <v>334</v>
      </c>
      <c r="CV112" s="169" t="n">
        <v>45052</v>
      </c>
      <c r="CW112" s="4" t="s">
        <v>327</v>
      </c>
      <c r="CX112" s="4" t="s">
        <v>340</v>
      </c>
      <c r="CY112" s="4" t="n">
        <v>107</v>
      </c>
      <c r="CZ112" s="4" t="n">
        <v>1040</v>
      </c>
      <c r="DB112" s="4" t="s">
        <v>341</v>
      </c>
      <c r="DC112" s="4" t="s">
        <v>558</v>
      </c>
      <c r="DD112" s="4" t="s">
        <v>360</v>
      </c>
      <c r="DF112" s="4" t="n">
        <v>0.201</v>
      </c>
      <c r="DG112" s="4" t="n">
        <v>0.621</v>
      </c>
      <c r="DH112" s="4" t="n">
        <v>85.197</v>
      </c>
      <c r="DI112" s="4" t="n">
        <v>7.579</v>
      </c>
      <c r="DJ112" s="4" t="n">
        <v>3.581</v>
      </c>
      <c r="DK112" s="4" t="n">
        <v>0.474</v>
      </c>
      <c r="DL112" s="4" t="n">
        <v>1.188</v>
      </c>
      <c r="DM112" s="4" t="n">
        <v>0.297</v>
      </c>
      <c r="DN112" s="4" t="n">
        <v>0.35</v>
      </c>
      <c r="DO112" s="4" t="n">
        <v>0.512</v>
      </c>
      <c r="EQ112" s="4" t="s">
        <v>335</v>
      </c>
    </row>
    <row r="113" customFormat="false" ht="15.75" hidden="false" customHeight="true" outlineLevel="0" collapsed="false">
      <c r="A113" s="169" t="n">
        <v>45047.375</v>
      </c>
      <c r="B113" s="169" t="n">
        <v>45078.375</v>
      </c>
      <c r="C113" s="4" t="s">
        <v>142</v>
      </c>
      <c r="D113" s="4" t="s">
        <v>143</v>
      </c>
      <c r="E113" s="4" t="n">
        <v>513413.14</v>
      </c>
      <c r="F113" s="4" t="n">
        <v>677191.93</v>
      </c>
      <c r="G113" s="4" t="n">
        <v>46.2973707393059</v>
      </c>
      <c r="I113" s="4" t="n">
        <v>1040.69803297412</v>
      </c>
      <c r="J113" s="4" t="n">
        <v>98.2342894866821</v>
      </c>
      <c r="K113" s="4" t="n">
        <v>44639.55</v>
      </c>
      <c r="L113" s="4" t="n">
        <v>9.23706083098726</v>
      </c>
      <c r="N113" s="4" t="n">
        <v>1.13660647475977</v>
      </c>
      <c r="P113" s="4" t="s">
        <v>324</v>
      </c>
      <c r="Q113" s="4" t="s">
        <v>325</v>
      </c>
      <c r="T113" s="4" t="s">
        <v>326</v>
      </c>
      <c r="U113" s="4" t="s">
        <v>142</v>
      </c>
      <c r="V113" s="170" t="n">
        <v>44315</v>
      </c>
      <c r="W113" s="4" t="n">
        <v>1</v>
      </c>
      <c r="X113" s="4" t="n">
        <v>9</v>
      </c>
      <c r="AA113" s="4" t="n">
        <v>3.50009989738464</v>
      </c>
      <c r="AB113" s="4" t="n">
        <v>68</v>
      </c>
      <c r="AC113" s="4" t="s">
        <v>327</v>
      </c>
      <c r="AD113" s="4" t="n">
        <v>7.62400007247925</v>
      </c>
      <c r="AE113" s="4" t="n">
        <v>68</v>
      </c>
      <c r="AF113" s="4" t="s">
        <v>328</v>
      </c>
      <c r="AG113" s="4" t="s">
        <v>329</v>
      </c>
      <c r="AH113" s="4" t="s">
        <v>330</v>
      </c>
      <c r="AI113" s="4" t="s">
        <v>331</v>
      </c>
      <c r="AR113" s="4" t="s">
        <v>332</v>
      </c>
      <c r="AS113" s="4" t="s">
        <v>332</v>
      </c>
      <c r="AT113" s="4" t="s">
        <v>332</v>
      </c>
      <c r="AU113" s="4" t="s">
        <v>333</v>
      </c>
      <c r="AV113" s="4" t="n">
        <v>2047</v>
      </c>
      <c r="AW113" s="4" t="n">
        <v>0</v>
      </c>
      <c r="AX113" s="4" t="n">
        <v>400</v>
      </c>
      <c r="AY113" s="4" t="n">
        <v>0</v>
      </c>
      <c r="BB113" s="4" t="n">
        <v>2047</v>
      </c>
      <c r="BC113" s="4" t="n">
        <v>0</v>
      </c>
      <c r="BD113" s="4" t="n">
        <v>1513.19995117187</v>
      </c>
      <c r="BE113" s="4" t="n">
        <v>13.1999998092651</v>
      </c>
      <c r="BH113" s="4" t="n">
        <v>420</v>
      </c>
      <c r="BI113" s="4" t="n">
        <v>0</v>
      </c>
      <c r="BN113" s="4" t="n">
        <v>0.5</v>
      </c>
      <c r="BO113" s="4" t="n">
        <v>-3</v>
      </c>
      <c r="BP113" s="4" t="n">
        <v>14.6499996185303</v>
      </c>
      <c r="BQ113" s="4" t="n">
        <v>60</v>
      </c>
      <c r="BR113" s="4" t="n">
        <v>13.1999998092651</v>
      </c>
      <c r="BV113" s="4" t="n">
        <v>1</v>
      </c>
      <c r="BW113" s="4" t="s">
        <v>334</v>
      </c>
      <c r="BX113" s="4" t="n">
        <v>60</v>
      </c>
      <c r="BY113" s="4" t="s">
        <v>332</v>
      </c>
      <c r="BZ113" s="4" t="s">
        <v>332</v>
      </c>
      <c r="CA113" s="4" t="s">
        <v>332</v>
      </c>
      <c r="CB113" s="4" t="s">
        <v>333</v>
      </c>
      <c r="CC113" s="4" t="s">
        <v>332</v>
      </c>
      <c r="CD113" s="4" t="s">
        <v>332</v>
      </c>
      <c r="CE113" s="4" t="s">
        <v>332</v>
      </c>
      <c r="CF113" s="4" t="s">
        <v>333</v>
      </c>
      <c r="CK113" s="169" t="n">
        <v>43531.5672222222</v>
      </c>
      <c r="CL113" s="169"/>
      <c r="CQ113" s="4" t="n">
        <v>1319</v>
      </c>
      <c r="CR113" s="4" t="n">
        <v>1.3</v>
      </c>
      <c r="CS113" s="21" t="n">
        <v>6.9E-006</v>
      </c>
      <c r="CT113" s="4" t="n">
        <v>0.7764</v>
      </c>
      <c r="CU113" s="4" t="s">
        <v>334</v>
      </c>
      <c r="CV113" s="169" t="n">
        <v>45055</v>
      </c>
      <c r="CW113" s="4" t="s">
        <v>327</v>
      </c>
      <c r="CX113" s="4" t="s">
        <v>350</v>
      </c>
      <c r="CY113" s="4" t="n">
        <v>117</v>
      </c>
      <c r="CZ113" s="4" t="n">
        <v>1050</v>
      </c>
      <c r="DB113" s="4" t="s">
        <v>341</v>
      </c>
      <c r="DC113" s="4" t="s">
        <v>559</v>
      </c>
      <c r="DD113" s="4" t="s">
        <v>360</v>
      </c>
      <c r="DF113" s="4" t="n">
        <v>0.431</v>
      </c>
      <c r="DG113" s="4" t="n">
        <v>1.382</v>
      </c>
      <c r="DH113" s="4" t="n">
        <v>73.796</v>
      </c>
      <c r="DI113" s="4" t="n">
        <v>11.963</v>
      </c>
      <c r="DJ113" s="4" t="n">
        <v>7.671</v>
      </c>
      <c r="DK113" s="4" t="n">
        <v>0.864</v>
      </c>
      <c r="DL113" s="4" t="n">
        <v>2.603</v>
      </c>
      <c r="DM113" s="21" t="n">
        <v>0.483</v>
      </c>
      <c r="DN113" s="21" t="n">
        <v>0.509</v>
      </c>
      <c r="DO113" s="21" t="n">
        <v>0.298</v>
      </c>
      <c r="DQ113" s="21"/>
      <c r="DR113" s="21"/>
      <c r="EQ113" s="4" t="s">
        <v>335</v>
      </c>
      <c r="FR113" s="4" t="s">
        <v>417</v>
      </c>
    </row>
    <row r="114" customFormat="false" ht="15.75" hidden="false" customHeight="true" outlineLevel="0" collapsed="false">
      <c r="A114" s="169" t="n">
        <v>45047.375</v>
      </c>
      <c r="B114" s="169" t="n">
        <v>45078.375</v>
      </c>
      <c r="C114" s="4" t="s">
        <v>560</v>
      </c>
      <c r="D114" s="4" t="s">
        <v>561</v>
      </c>
      <c r="E114" s="4" t="n">
        <v>3465332.31</v>
      </c>
      <c r="F114" s="4" t="n">
        <v>3565243.69</v>
      </c>
      <c r="G114" s="4" t="n">
        <v>80.6942653442188</v>
      </c>
      <c r="I114" s="4" t="n">
        <v>1187.52909330491</v>
      </c>
      <c r="J114" s="4" t="n">
        <v>93.7465659005315</v>
      </c>
      <c r="K114" s="4" t="n">
        <v>44629.7166666667</v>
      </c>
      <c r="L114" s="4" t="n">
        <v>12.7976936535288</v>
      </c>
      <c r="N114" s="4" t="n">
        <v>1.06505572368865</v>
      </c>
      <c r="P114" s="4" t="s">
        <v>324</v>
      </c>
      <c r="Q114" s="4" t="s">
        <v>325</v>
      </c>
      <c r="T114" s="4" t="s">
        <v>326</v>
      </c>
      <c r="U114" s="4" t="s">
        <v>560</v>
      </c>
      <c r="V114" s="170" t="n">
        <v>43502</v>
      </c>
      <c r="W114" s="4" t="n">
        <v>1</v>
      </c>
      <c r="X114" s="4" t="n">
        <v>9</v>
      </c>
      <c r="AA114" s="4" t="n">
        <v>7.5</v>
      </c>
      <c r="AB114" s="4" t="n">
        <v>68</v>
      </c>
      <c r="AC114" s="4" t="s">
        <v>327</v>
      </c>
      <c r="AD114" s="4" t="n">
        <v>14.3090000152588</v>
      </c>
      <c r="AE114" s="4" t="n">
        <v>68</v>
      </c>
      <c r="AF114" s="4" t="s">
        <v>328</v>
      </c>
      <c r="AG114" s="4" t="s">
        <v>329</v>
      </c>
      <c r="AH114" s="4" t="s">
        <v>330</v>
      </c>
      <c r="AI114" s="4" t="s">
        <v>331</v>
      </c>
      <c r="AR114" s="4" t="s">
        <v>333</v>
      </c>
      <c r="AS114" s="4" t="s">
        <v>333</v>
      </c>
      <c r="AT114" s="4" t="s">
        <v>333</v>
      </c>
      <c r="AU114" s="4" t="s">
        <v>333</v>
      </c>
      <c r="AV114" s="4" t="n">
        <v>2047</v>
      </c>
      <c r="AW114" s="4" t="n">
        <v>0</v>
      </c>
      <c r="AX114" s="4" t="n">
        <v>400</v>
      </c>
      <c r="AY114" s="4" t="n">
        <v>0</v>
      </c>
      <c r="BB114" s="4" t="n">
        <v>2047</v>
      </c>
      <c r="BC114" s="4" t="n">
        <v>0</v>
      </c>
      <c r="BD114" s="4" t="n">
        <v>100</v>
      </c>
      <c r="BE114" s="4" t="n">
        <v>0</v>
      </c>
      <c r="BH114" s="4" t="n">
        <v>420</v>
      </c>
      <c r="BI114" s="4" t="n">
        <v>0</v>
      </c>
      <c r="BN114" s="4" t="n">
        <v>0.5</v>
      </c>
      <c r="BO114" s="4" t="n">
        <v>-3</v>
      </c>
      <c r="BP114" s="4" t="n">
        <v>14.6499996185303</v>
      </c>
      <c r="BQ114" s="4" t="n">
        <v>60</v>
      </c>
      <c r="BR114" s="4" t="n">
        <v>13.1999998092651</v>
      </c>
      <c r="BV114" s="4" t="n">
        <v>1</v>
      </c>
      <c r="BW114" s="4" t="s">
        <v>334</v>
      </c>
      <c r="BX114" s="4" t="n">
        <v>60</v>
      </c>
      <c r="BY114" s="4" t="s">
        <v>332</v>
      </c>
      <c r="BZ114" s="4" t="s">
        <v>332</v>
      </c>
      <c r="CA114" s="4" t="s">
        <v>332</v>
      </c>
      <c r="CB114" s="4" t="s">
        <v>333</v>
      </c>
      <c r="CC114" s="4" t="s">
        <v>332</v>
      </c>
      <c r="CD114" s="4" t="s">
        <v>332</v>
      </c>
      <c r="CE114" s="4" t="s">
        <v>333</v>
      </c>
      <c r="CF114" s="4" t="s">
        <v>333</v>
      </c>
      <c r="CK114" s="169" t="n">
        <v>44950.0469444445</v>
      </c>
      <c r="CL114" s="169" t="n">
        <v>44950.0469444445</v>
      </c>
      <c r="CQ114" s="4" t="n">
        <v>1028.83938217095</v>
      </c>
      <c r="CR114" s="4" t="n">
        <v>1.29999995231628</v>
      </c>
      <c r="CS114" s="21" t="n">
        <v>0.0102679999545217</v>
      </c>
      <c r="CT114" s="4" t="n">
        <v>0.575254607531517</v>
      </c>
      <c r="CV114" s="169" t="n">
        <v>45078</v>
      </c>
      <c r="CW114" s="4" t="s">
        <v>325</v>
      </c>
      <c r="DF114" s="4" t="n">
        <v>0.0272778527518202</v>
      </c>
      <c r="DG114" s="4" t="n">
        <v>1.02086752714395</v>
      </c>
      <c r="DH114" s="4" t="n">
        <v>95.7473787792474</v>
      </c>
      <c r="DI114" s="4" t="n">
        <v>3.1264529322299</v>
      </c>
      <c r="DJ114" s="4" t="n">
        <v>0.0772557662189315</v>
      </c>
      <c r="DK114" s="4" t="n">
        <v>0.000436208878247077</v>
      </c>
      <c r="DL114" s="4" t="n">
        <v>0.000429226524226098</v>
      </c>
      <c r="DM114" s="4" t="n">
        <v>0</v>
      </c>
      <c r="DN114" s="4" t="n">
        <v>0</v>
      </c>
      <c r="DO114" s="21" t="n">
        <v>3.66670485078537E-007</v>
      </c>
      <c r="DQ114" s="21" t="n">
        <v>2.7299582130183E-007</v>
      </c>
      <c r="DR114" s="4" t="n">
        <v>0</v>
      </c>
      <c r="DS114" s="4" t="n">
        <v>0</v>
      </c>
      <c r="DT114" s="4" t="n">
        <v>0</v>
      </c>
      <c r="DU114" s="4" t="n">
        <v>0</v>
      </c>
      <c r="DX114" s="4" t="n">
        <v>0</v>
      </c>
      <c r="EQ114" s="4" t="s">
        <v>335</v>
      </c>
      <c r="FR114" s="4" t="s">
        <v>369</v>
      </c>
    </row>
    <row r="115" customFormat="false" ht="15.75" hidden="false" customHeight="true" outlineLevel="0" collapsed="false">
      <c r="A115" s="169" t="n">
        <v>45047.375</v>
      </c>
      <c r="B115" s="169" t="n">
        <v>45078.375</v>
      </c>
      <c r="C115" s="4" t="s">
        <v>145</v>
      </c>
      <c r="D115" s="4" t="s">
        <v>146</v>
      </c>
      <c r="E115" s="4" t="n">
        <v>459586.51</v>
      </c>
      <c r="F115" s="4" t="n">
        <v>581836.52</v>
      </c>
      <c r="G115" s="4" t="n">
        <v>25.8181782673871</v>
      </c>
      <c r="I115" s="4" t="n">
        <v>1118.67756547789</v>
      </c>
      <c r="J115" s="4" t="n">
        <v>91.2173696373963</v>
      </c>
      <c r="K115" s="4" t="n">
        <v>43988.9333333333</v>
      </c>
      <c r="L115" s="4" t="n">
        <v>7.08263145706208</v>
      </c>
      <c r="N115" s="4" t="n">
        <v>1.1313915845736</v>
      </c>
      <c r="P115" s="4" t="s">
        <v>324</v>
      </c>
      <c r="Q115" s="4" t="s">
        <v>325</v>
      </c>
      <c r="T115" s="4" t="s">
        <v>326</v>
      </c>
      <c r="U115" s="4" t="s">
        <v>145</v>
      </c>
      <c r="V115" s="170" t="n">
        <v>44636</v>
      </c>
      <c r="W115" s="4" t="n">
        <v>1</v>
      </c>
      <c r="X115" s="4" t="n">
        <v>9</v>
      </c>
      <c r="AA115" s="4" t="n">
        <v>3.75</v>
      </c>
      <c r="AB115" s="4" t="n">
        <v>68</v>
      </c>
      <c r="AC115" s="4" t="s">
        <v>327</v>
      </c>
      <c r="AD115" s="4" t="n">
        <v>6.06500005722046</v>
      </c>
      <c r="AE115" s="4" t="n">
        <v>68</v>
      </c>
      <c r="AF115" s="4" t="s">
        <v>328</v>
      </c>
      <c r="AG115" s="4" t="s">
        <v>329</v>
      </c>
      <c r="AH115" s="4" t="s">
        <v>330</v>
      </c>
      <c r="AI115" s="4" t="s">
        <v>331</v>
      </c>
      <c r="AR115" s="4" t="s">
        <v>332</v>
      </c>
      <c r="AS115" s="4" t="s">
        <v>332</v>
      </c>
      <c r="AT115" s="4" t="s">
        <v>332</v>
      </c>
      <c r="AU115" s="4" t="s">
        <v>333</v>
      </c>
      <c r="AV115" s="4" t="n">
        <v>2047</v>
      </c>
      <c r="AW115" s="4" t="n">
        <v>0</v>
      </c>
      <c r="AX115" s="4" t="n">
        <v>400</v>
      </c>
      <c r="AY115" s="4" t="n">
        <v>0</v>
      </c>
      <c r="BB115" s="4" t="n">
        <v>2047.96875</v>
      </c>
      <c r="BC115" s="4" t="n">
        <v>0</v>
      </c>
      <c r="BD115" s="4" t="n">
        <v>1213.19995117187</v>
      </c>
      <c r="BE115" s="4" t="n">
        <v>13.1999998092651</v>
      </c>
      <c r="BH115" s="4" t="n">
        <v>420</v>
      </c>
      <c r="BI115" s="4" t="n">
        <v>0</v>
      </c>
      <c r="BN115" s="4" t="n">
        <v>0.5</v>
      </c>
      <c r="BO115" s="4" t="n">
        <v>-3</v>
      </c>
      <c r="BP115" s="4" t="n">
        <v>14.6499996185303</v>
      </c>
      <c r="BQ115" s="4" t="n">
        <v>60</v>
      </c>
      <c r="BR115" s="4" t="n">
        <v>13.1999998092651</v>
      </c>
      <c r="BV115" s="4" t="n">
        <v>1</v>
      </c>
      <c r="BW115" s="4" t="s">
        <v>334</v>
      </c>
      <c r="BX115" s="4" t="n">
        <v>60</v>
      </c>
      <c r="BY115" s="4" t="s">
        <v>332</v>
      </c>
      <c r="BZ115" s="4" t="s">
        <v>332</v>
      </c>
      <c r="CA115" s="4" t="s">
        <v>332</v>
      </c>
      <c r="CB115" s="4" t="s">
        <v>333</v>
      </c>
      <c r="CC115" s="4" t="s">
        <v>332</v>
      </c>
      <c r="CD115" s="4" t="s">
        <v>332</v>
      </c>
      <c r="CE115" s="4" t="s">
        <v>332</v>
      </c>
      <c r="CF115" s="4" t="s">
        <v>333</v>
      </c>
      <c r="CK115" s="169" t="n">
        <v>44807.4106944444</v>
      </c>
      <c r="CL115" s="169" t="n">
        <v>44807.4106944444</v>
      </c>
      <c r="CQ115" s="4" t="n">
        <v>1266</v>
      </c>
      <c r="CR115" s="4" t="n">
        <v>1.3</v>
      </c>
      <c r="CS115" s="21" t="n">
        <v>6.9E-006</v>
      </c>
      <c r="CT115" s="4" t="n">
        <v>0.7312</v>
      </c>
      <c r="CU115" s="4" t="s">
        <v>334</v>
      </c>
      <c r="CV115" s="169" t="n">
        <v>45071</v>
      </c>
      <c r="CW115" s="4" t="s">
        <v>327</v>
      </c>
      <c r="CX115" s="4" t="s">
        <v>340</v>
      </c>
      <c r="CY115" s="4" t="n">
        <v>98</v>
      </c>
      <c r="CZ115" s="4" t="n">
        <v>1136</v>
      </c>
      <c r="DB115" s="4" t="s">
        <v>363</v>
      </c>
      <c r="DC115" s="4" t="s">
        <v>529</v>
      </c>
      <c r="DD115" s="4" t="s">
        <v>365</v>
      </c>
      <c r="DF115" s="4" t="n">
        <v>0.121</v>
      </c>
      <c r="DG115" s="4" t="n">
        <v>0.839</v>
      </c>
      <c r="DH115" s="4" t="n">
        <v>79.667</v>
      </c>
      <c r="DI115" s="4" t="n">
        <v>10.619</v>
      </c>
      <c r="DJ115" s="4" t="n">
        <v>4.586</v>
      </c>
      <c r="DK115" s="4" t="n">
        <v>0.744</v>
      </c>
      <c r="DL115" s="4" t="n">
        <v>1.639</v>
      </c>
      <c r="DM115" s="4" t="n">
        <v>0.501</v>
      </c>
      <c r="DN115" s="4" t="n">
        <v>0.572</v>
      </c>
      <c r="DO115" s="4" t="n">
        <v>0.712</v>
      </c>
      <c r="EQ115" s="4" t="s">
        <v>335</v>
      </c>
      <c r="FR115" s="4" t="s">
        <v>562</v>
      </c>
    </row>
    <row r="116" customFormat="false" ht="15.75" hidden="false" customHeight="true" outlineLevel="0" collapsed="false">
      <c r="A116" s="169" t="n">
        <v>45047.375</v>
      </c>
      <c r="B116" s="169" t="n">
        <v>45078.375</v>
      </c>
      <c r="C116" s="4" t="s">
        <v>148</v>
      </c>
      <c r="D116" s="4" t="s">
        <v>149</v>
      </c>
      <c r="E116" s="4" t="n">
        <v>473825.25</v>
      </c>
      <c r="F116" s="4" t="n">
        <v>580435.93</v>
      </c>
      <c r="G116" s="4" t="n">
        <v>126.525977084683</v>
      </c>
      <c r="I116" s="4" t="n">
        <v>974.662981559997</v>
      </c>
      <c r="J116" s="4" t="n">
        <v>95.139966268086</v>
      </c>
      <c r="K116" s="4" t="n">
        <v>44563.6166666667</v>
      </c>
      <c r="L116" s="4" t="n">
        <v>14.6917069871349</v>
      </c>
      <c r="N116" s="4" t="n">
        <v>1.09801299500298</v>
      </c>
      <c r="P116" s="4" t="s">
        <v>324</v>
      </c>
      <c r="Q116" s="4" t="s">
        <v>325</v>
      </c>
      <c r="T116" s="4" t="s">
        <v>326</v>
      </c>
      <c r="U116" s="4" t="s">
        <v>148</v>
      </c>
      <c r="V116" s="170" t="n">
        <v>44700</v>
      </c>
      <c r="W116" s="4" t="n">
        <v>1</v>
      </c>
      <c r="X116" s="4" t="n">
        <v>9</v>
      </c>
      <c r="AA116" s="4" t="n">
        <v>2.75</v>
      </c>
      <c r="AB116" s="4" t="n">
        <v>68</v>
      </c>
      <c r="AC116" s="4" t="s">
        <v>327</v>
      </c>
      <c r="AD116" s="4" t="n">
        <v>4.02600002288818</v>
      </c>
      <c r="AE116" s="4" t="n">
        <v>68</v>
      </c>
      <c r="AF116" s="4" t="s">
        <v>328</v>
      </c>
      <c r="AG116" s="4" t="s">
        <v>329</v>
      </c>
      <c r="AH116" s="4" t="s">
        <v>330</v>
      </c>
      <c r="AI116" s="4" t="s">
        <v>331</v>
      </c>
      <c r="AR116" s="4" t="s">
        <v>332</v>
      </c>
      <c r="AS116" s="4" t="s">
        <v>332</v>
      </c>
      <c r="AT116" s="4" t="s">
        <v>332</v>
      </c>
      <c r="AU116" s="4" t="s">
        <v>333</v>
      </c>
      <c r="AV116" s="4" t="n">
        <v>2047</v>
      </c>
      <c r="AW116" s="4" t="n">
        <v>0</v>
      </c>
      <c r="AX116" s="4" t="n">
        <v>400</v>
      </c>
      <c r="AY116" s="4" t="n">
        <v>0</v>
      </c>
      <c r="BB116" s="4" t="n">
        <v>2047</v>
      </c>
      <c r="BC116" s="4" t="n">
        <v>0</v>
      </c>
      <c r="BD116" s="4" t="n">
        <v>100</v>
      </c>
      <c r="BE116" s="4" t="n">
        <v>0</v>
      </c>
      <c r="BH116" s="4" t="n">
        <v>420</v>
      </c>
      <c r="BI116" s="4" t="n">
        <v>0</v>
      </c>
      <c r="BN116" s="4" t="n">
        <v>0.5</v>
      </c>
      <c r="BO116" s="4" t="n">
        <v>-3</v>
      </c>
      <c r="BP116" s="4" t="n">
        <v>14.6499996185303</v>
      </c>
      <c r="BQ116" s="4" t="n">
        <v>60</v>
      </c>
      <c r="BR116" s="4" t="n">
        <v>13.1999998092651</v>
      </c>
      <c r="BV116" s="4" t="n">
        <v>1</v>
      </c>
      <c r="BW116" s="4" t="s">
        <v>334</v>
      </c>
      <c r="BX116" s="4" t="n">
        <v>60</v>
      </c>
      <c r="BY116" s="4" t="s">
        <v>332</v>
      </c>
      <c r="BZ116" s="4" t="s">
        <v>332</v>
      </c>
      <c r="CA116" s="4" t="s">
        <v>332</v>
      </c>
      <c r="CB116" s="4" t="s">
        <v>333</v>
      </c>
      <c r="CC116" s="4" t="s">
        <v>332</v>
      </c>
      <c r="CD116" s="4" t="s">
        <v>332</v>
      </c>
      <c r="CE116" s="4" t="s">
        <v>332</v>
      </c>
      <c r="CF116" s="4" t="s">
        <v>333</v>
      </c>
      <c r="CK116" s="169" t="n">
        <v>44967.6219444444</v>
      </c>
      <c r="CL116" s="169" t="n">
        <v>44967.6219444444</v>
      </c>
      <c r="CQ116" s="4" t="n">
        <v>1225</v>
      </c>
      <c r="CR116" s="4" t="n">
        <v>1.3</v>
      </c>
      <c r="CS116" s="21" t="n">
        <v>6.9E-006</v>
      </c>
      <c r="CT116" s="4" t="n">
        <v>0.7053</v>
      </c>
      <c r="CU116" s="4" t="s">
        <v>334</v>
      </c>
      <c r="CV116" s="169" t="n">
        <v>45062</v>
      </c>
      <c r="CW116" s="4" t="s">
        <v>328</v>
      </c>
      <c r="CX116" s="4" t="s">
        <v>340</v>
      </c>
      <c r="CY116" s="4" t="n">
        <v>95</v>
      </c>
      <c r="CZ116" s="4" t="n">
        <v>820</v>
      </c>
      <c r="DB116" s="4" t="s">
        <v>341</v>
      </c>
      <c r="DC116" s="4" t="s">
        <v>563</v>
      </c>
      <c r="DD116" s="4" t="s">
        <v>380</v>
      </c>
      <c r="DF116" s="4" t="n">
        <v>0.115</v>
      </c>
      <c r="DG116" s="4" t="n">
        <v>0.897</v>
      </c>
      <c r="DH116" s="4" t="n">
        <v>81.139</v>
      </c>
      <c r="DI116" s="4" t="n">
        <v>10.651</v>
      </c>
      <c r="DJ116" s="4" t="n">
        <v>4.127</v>
      </c>
      <c r="DK116" s="4" t="n">
        <v>0.689</v>
      </c>
      <c r="DL116" s="4" t="n">
        <v>1.286</v>
      </c>
      <c r="DM116" s="4" t="n">
        <v>0.334</v>
      </c>
      <c r="DN116" s="4" t="n">
        <v>0.349</v>
      </c>
      <c r="DO116" s="4" t="n">
        <v>0.413</v>
      </c>
      <c r="EQ116" s="4" t="s">
        <v>335</v>
      </c>
      <c r="FR116" s="4" t="s">
        <v>366</v>
      </c>
    </row>
    <row r="117" customFormat="false" ht="15.75" hidden="false" customHeight="true" outlineLevel="0" collapsed="false">
      <c r="A117" s="169" t="n">
        <v>45047.375</v>
      </c>
      <c r="B117" s="169" t="n">
        <v>45078.375</v>
      </c>
      <c r="C117" s="4" t="s">
        <v>151</v>
      </c>
      <c r="D117" s="4" t="s">
        <v>152</v>
      </c>
      <c r="E117" s="4" t="n">
        <v>984114.18</v>
      </c>
      <c r="F117" s="4" t="n">
        <v>1268523.17</v>
      </c>
      <c r="G117" s="4" t="n">
        <v>81.9222641615218</v>
      </c>
      <c r="I117" s="4" t="n">
        <v>1030.35173974176</v>
      </c>
      <c r="J117" s="4" t="n">
        <v>94.4513333438195</v>
      </c>
      <c r="K117" s="4" t="n">
        <v>44604.7</v>
      </c>
      <c r="L117" s="4" t="n">
        <v>12.2165244644638</v>
      </c>
      <c r="N117" s="4" t="n">
        <v>1.1254898445793</v>
      </c>
      <c r="P117" s="4" t="s">
        <v>324</v>
      </c>
      <c r="Q117" s="4" t="s">
        <v>325</v>
      </c>
      <c r="T117" s="4" t="s">
        <v>326</v>
      </c>
      <c r="U117" s="4" t="s">
        <v>151</v>
      </c>
      <c r="V117" s="170" t="n">
        <v>44769</v>
      </c>
      <c r="W117" s="4" t="n">
        <v>1</v>
      </c>
      <c r="X117" s="4" t="n">
        <v>9</v>
      </c>
      <c r="AA117" s="4" t="n">
        <v>4</v>
      </c>
      <c r="AB117" s="4" t="n">
        <v>68</v>
      </c>
      <c r="AC117" s="4" t="s">
        <v>327</v>
      </c>
      <c r="AD117" s="4" t="n">
        <v>5.76100015640259</v>
      </c>
      <c r="AE117" s="4" t="n">
        <v>68</v>
      </c>
      <c r="AF117" s="4" t="s">
        <v>328</v>
      </c>
      <c r="AG117" s="4" t="s">
        <v>329</v>
      </c>
      <c r="AH117" s="4" t="s">
        <v>330</v>
      </c>
      <c r="AI117" s="4" t="s">
        <v>331</v>
      </c>
      <c r="AR117" s="4" t="s">
        <v>332</v>
      </c>
      <c r="AS117" s="4" t="s">
        <v>332</v>
      </c>
      <c r="AT117" s="4" t="s">
        <v>332</v>
      </c>
      <c r="AU117" s="4" t="s">
        <v>333</v>
      </c>
      <c r="AV117" s="4" t="n">
        <v>2047</v>
      </c>
      <c r="AW117" s="4" t="n">
        <v>0</v>
      </c>
      <c r="AX117" s="4" t="n">
        <v>400</v>
      </c>
      <c r="AY117" s="4" t="n">
        <v>0</v>
      </c>
      <c r="BB117" s="4" t="n">
        <v>2047.96875</v>
      </c>
      <c r="BC117" s="4" t="n">
        <v>0</v>
      </c>
      <c r="BD117" s="4" t="n">
        <v>1213.19995117187</v>
      </c>
      <c r="BE117" s="4" t="n">
        <v>13.1999998092651</v>
      </c>
      <c r="BH117" s="4" t="n">
        <v>420</v>
      </c>
      <c r="BI117" s="4" t="n">
        <v>0</v>
      </c>
      <c r="BN117" s="4" t="n">
        <v>0.5</v>
      </c>
      <c r="BO117" s="4" t="n">
        <v>-3</v>
      </c>
      <c r="BP117" s="4" t="n">
        <v>14.6499996185303</v>
      </c>
      <c r="BQ117" s="4" t="n">
        <v>60</v>
      </c>
      <c r="BR117" s="4" t="n">
        <v>13.1999998092651</v>
      </c>
      <c r="BV117" s="4" t="n">
        <v>1</v>
      </c>
      <c r="BW117" s="4" t="s">
        <v>334</v>
      </c>
      <c r="BX117" s="4" t="n">
        <v>60</v>
      </c>
      <c r="BY117" s="4" t="s">
        <v>332</v>
      </c>
      <c r="BZ117" s="4" t="s">
        <v>332</v>
      </c>
      <c r="CA117" s="4" t="s">
        <v>332</v>
      </c>
      <c r="CB117" s="4" t="s">
        <v>333</v>
      </c>
      <c r="CC117" s="4" t="s">
        <v>332</v>
      </c>
      <c r="CD117" s="4" t="s">
        <v>332</v>
      </c>
      <c r="CE117" s="4" t="s">
        <v>332</v>
      </c>
      <c r="CF117" s="4" t="s">
        <v>333</v>
      </c>
      <c r="CK117" s="169" t="n">
        <v>45008.5074305556</v>
      </c>
      <c r="CL117" s="169" t="n">
        <v>45008.5074305556</v>
      </c>
      <c r="CQ117" s="4" t="n">
        <v>1289</v>
      </c>
      <c r="CR117" s="4" t="n">
        <v>1.3</v>
      </c>
      <c r="CS117" s="21" t="n">
        <v>6.9E-006</v>
      </c>
      <c r="CT117" s="4" t="n">
        <v>0.7472</v>
      </c>
      <c r="CU117" s="4" t="s">
        <v>334</v>
      </c>
      <c r="CV117" s="169" t="n">
        <v>45070</v>
      </c>
      <c r="CW117" s="4" t="s">
        <v>327</v>
      </c>
      <c r="CX117" s="4" t="s">
        <v>340</v>
      </c>
      <c r="CY117" s="4" t="n">
        <v>90</v>
      </c>
      <c r="CZ117" s="4" t="n">
        <v>1012</v>
      </c>
      <c r="DB117" s="4" t="s">
        <v>363</v>
      </c>
      <c r="DC117" s="4" t="s">
        <v>564</v>
      </c>
      <c r="DD117" s="4" t="s">
        <v>360</v>
      </c>
      <c r="DF117" s="4" t="n">
        <v>0.146</v>
      </c>
      <c r="DG117" s="4" t="n">
        <v>0.927</v>
      </c>
      <c r="DH117" s="4" t="n">
        <v>77.414</v>
      </c>
      <c r="DI117" s="4" t="n">
        <v>11.691</v>
      </c>
      <c r="DJ117" s="4" t="n">
        <v>5.467</v>
      </c>
      <c r="DK117" s="4" t="n">
        <v>0.797</v>
      </c>
      <c r="DL117" s="4" t="n">
        <v>1.866</v>
      </c>
      <c r="DM117" s="4" t="n">
        <v>0.491</v>
      </c>
      <c r="DN117" s="4" t="n">
        <v>0.583</v>
      </c>
      <c r="DO117" s="4" t="n">
        <v>0.618</v>
      </c>
      <c r="EQ117" s="4" t="s">
        <v>335</v>
      </c>
      <c r="FR117" s="4" t="s">
        <v>371</v>
      </c>
    </row>
    <row r="118" customFormat="false" ht="15.75" hidden="false" customHeight="true" outlineLevel="0" collapsed="false">
      <c r="A118" s="169" t="n">
        <v>45047.375</v>
      </c>
      <c r="B118" s="169" t="n">
        <v>45078.375</v>
      </c>
      <c r="C118" s="4" t="s">
        <v>109</v>
      </c>
      <c r="D118" s="4" t="s">
        <v>565</v>
      </c>
      <c r="E118" s="4" t="n">
        <v>39085.07</v>
      </c>
      <c r="F118" s="4" t="n">
        <v>51670.46</v>
      </c>
      <c r="G118" s="4" t="n">
        <v>49.6148626509459</v>
      </c>
      <c r="I118" s="4" t="n">
        <v>1050.57580778481</v>
      </c>
      <c r="J118" s="4" t="n">
        <v>100.461464189783</v>
      </c>
      <c r="K118" s="4" t="n">
        <v>41231.8333333333</v>
      </c>
      <c r="L118" s="4" t="n">
        <v>9.41183807630526</v>
      </c>
      <c r="N118" s="4" t="n">
        <v>1.13650606660218</v>
      </c>
      <c r="P118" s="4" t="s">
        <v>324</v>
      </c>
      <c r="Q118" s="4" t="s">
        <v>325</v>
      </c>
      <c r="T118" s="4" t="s">
        <v>326</v>
      </c>
      <c r="U118" s="4" t="s">
        <v>109</v>
      </c>
      <c r="V118" s="170" t="n">
        <v>43516</v>
      </c>
      <c r="W118" s="4" t="n">
        <v>1</v>
      </c>
      <c r="X118" s="4" t="n">
        <v>9</v>
      </c>
      <c r="AA118" s="4" t="n">
        <v>1</v>
      </c>
      <c r="AB118" s="4" t="n">
        <v>68</v>
      </c>
      <c r="AC118" s="4" t="s">
        <v>327</v>
      </c>
      <c r="AD118" s="4" t="n">
        <v>3.83100008964539</v>
      </c>
      <c r="AE118" s="4" t="n">
        <v>68</v>
      </c>
      <c r="AF118" s="4" t="s">
        <v>328</v>
      </c>
      <c r="AG118" s="4" t="s">
        <v>329</v>
      </c>
      <c r="AH118" s="4" t="s">
        <v>330</v>
      </c>
      <c r="AI118" s="4" t="s">
        <v>331</v>
      </c>
      <c r="AR118" s="4" t="s">
        <v>332</v>
      </c>
      <c r="AS118" s="4" t="s">
        <v>332</v>
      </c>
      <c r="AT118" s="4" t="s">
        <v>332</v>
      </c>
      <c r="AU118" s="4" t="s">
        <v>333</v>
      </c>
      <c r="AV118" s="4" t="n">
        <v>2047</v>
      </c>
      <c r="AW118" s="4" t="n">
        <v>0</v>
      </c>
      <c r="AX118" s="4" t="n">
        <v>400</v>
      </c>
      <c r="AY118" s="4" t="n">
        <v>0</v>
      </c>
      <c r="BB118" s="4" t="n">
        <v>2047</v>
      </c>
      <c r="BC118" s="4" t="n">
        <v>0</v>
      </c>
      <c r="BD118" s="4" t="n">
        <v>1213.19995117187</v>
      </c>
      <c r="BE118" s="4" t="n">
        <v>13.1999998092651</v>
      </c>
      <c r="BH118" s="4" t="n">
        <v>420</v>
      </c>
      <c r="BI118" s="4" t="n">
        <v>0</v>
      </c>
      <c r="BN118" s="4" t="n">
        <v>0.5</v>
      </c>
      <c r="BO118" s="4" t="n">
        <v>-3</v>
      </c>
      <c r="BP118" s="4" t="n">
        <v>14.6499996185303</v>
      </c>
      <c r="BQ118" s="4" t="n">
        <v>60</v>
      </c>
      <c r="BR118" s="4" t="n">
        <v>13.1999998092651</v>
      </c>
      <c r="BV118" s="4" t="n">
        <v>1</v>
      </c>
      <c r="BW118" s="4" t="s">
        <v>334</v>
      </c>
      <c r="BX118" s="4" t="n">
        <v>60</v>
      </c>
      <c r="BY118" s="4" t="s">
        <v>332</v>
      </c>
      <c r="BZ118" s="4" t="s">
        <v>332</v>
      </c>
      <c r="CA118" s="4" t="s">
        <v>332</v>
      </c>
      <c r="CB118" s="4" t="s">
        <v>333</v>
      </c>
      <c r="CC118" s="4" t="s">
        <v>332</v>
      </c>
      <c r="CD118" s="4" t="s">
        <v>332</v>
      </c>
      <c r="CE118" s="4" t="s">
        <v>333</v>
      </c>
      <c r="CF118" s="4" t="s">
        <v>333</v>
      </c>
      <c r="CK118" s="169" t="n">
        <v>44937.5145949074</v>
      </c>
      <c r="CL118" s="169" t="n">
        <v>44937.5145949074</v>
      </c>
      <c r="CQ118" s="4" t="n">
        <v>1322</v>
      </c>
      <c r="CR118" s="4" t="n">
        <v>1.3</v>
      </c>
      <c r="CS118" s="21" t="n">
        <v>6.9E-006</v>
      </c>
      <c r="CT118" s="4" t="n">
        <v>0.7763</v>
      </c>
      <c r="CU118" s="4" t="s">
        <v>334</v>
      </c>
      <c r="CV118" s="169" t="n">
        <v>45053</v>
      </c>
      <c r="CW118" s="4" t="s">
        <v>327</v>
      </c>
      <c r="CX118" s="4" t="s">
        <v>340</v>
      </c>
      <c r="CY118" s="4" t="n">
        <v>95</v>
      </c>
      <c r="CZ118" s="4" t="n">
        <v>1046</v>
      </c>
      <c r="DB118" s="4" t="s">
        <v>341</v>
      </c>
      <c r="DC118" s="4" t="s">
        <v>559</v>
      </c>
      <c r="DD118" s="4" t="s">
        <v>360</v>
      </c>
      <c r="DF118" s="4" t="n">
        <v>0.308</v>
      </c>
      <c r="DG118" s="4" t="n">
        <v>1.393</v>
      </c>
      <c r="DH118" s="4" t="n">
        <v>72.849</v>
      </c>
      <c r="DI118" s="4" t="n">
        <v>12.96</v>
      </c>
      <c r="DJ118" s="4" t="n">
        <v>8.257</v>
      </c>
      <c r="DK118" s="4" t="n">
        <v>0.836</v>
      </c>
      <c r="DL118" s="4" t="n">
        <v>2.421</v>
      </c>
      <c r="DM118" s="21" t="n">
        <v>0.377</v>
      </c>
      <c r="DN118" s="21" t="n">
        <v>0.353</v>
      </c>
      <c r="DO118" s="21" t="n">
        <v>0.246</v>
      </c>
      <c r="DQ118" s="21"/>
      <c r="DR118" s="21"/>
      <c r="EQ118" s="4" t="s">
        <v>335</v>
      </c>
      <c r="FR118" s="4" t="s">
        <v>389</v>
      </c>
    </row>
    <row r="119" customFormat="false" ht="15.75" hidden="false" customHeight="true" outlineLevel="0" collapsed="false">
      <c r="A119" s="169" t="n">
        <v>45047.375</v>
      </c>
      <c r="B119" s="169" t="n">
        <v>45078.375</v>
      </c>
      <c r="C119" s="4" t="s">
        <v>566</v>
      </c>
      <c r="D119" s="4" t="s">
        <v>567</v>
      </c>
      <c r="E119" s="4" t="n">
        <v>3811549.47</v>
      </c>
      <c r="F119" s="4" t="n">
        <v>3937855.59</v>
      </c>
      <c r="G119" s="4" t="n">
        <v>126.593448831237</v>
      </c>
      <c r="I119" s="4" t="n">
        <v>1191.39889752709</v>
      </c>
      <c r="J119" s="4" t="n">
        <v>98.9928665321854</v>
      </c>
      <c r="K119" s="4" t="n">
        <v>44568.2</v>
      </c>
      <c r="L119" s="4" t="n">
        <v>16.1565754109527</v>
      </c>
      <c r="N119" s="4" t="n">
        <v>1.06343719875495</v>
      </c>
      <c r="P119" s="4" t="s">
        <v>324</v>
      </c>
      <c r="Q119" s="4" t="s">
        <v>325</v>
      </c>
      <c r="T119" s="4" t="s">
        <v>326</v>
      </c>
      <c r="U119" s="4" t="s">
        <v>566</v>
      </c>
      <c r="V119" s="170" t="n">
        <v>43679</v>
      </c>
      <c r="W119" s="4" t="n">
        <v>1</v>
      </c>
      <c r="X119" s="4" t="n">
        <v>9</v>
      </c>
      <c r="AA119" s="4" t="n">
        <v>6.99989986419678</v>
      </c>
      <c r="AB119" s="4" t="n">
        <v>68</v>
      </c>
      <c r="AC119" s="4" t="s">
        <v>327</v>
      </c>
      <c r="AD119" s="4" t="n">
        <v>14.3120002746582</v>
      </c>
      <c r="AE119" s="4" t="n">
        <v>68</v>
      </c>
      <c r="AF119" s="4" t="s">
        <v>328</v>
      </c>
      <c r="AG119" s="4" t="s">
        <v>329</v>
      </c>
      <c r="AH119" s="4" t="s">
        <v>330</v>
      </c>
      <c r="AI119" s="4" t="s">
        <v>331</v>
      </c>
      <c r="AR119" s="4" t="s">
        <v>333</v>
      </c>
      <c r="AS119" s="4" t="s">
        <v>333</v>
      </c>
      <c r="AT119" s="4" t="s">
        <v>333</v>
      </c>
      <c r="AU119" s="4" t="s">
        <v>333</v>
      </c>
      <c r="AV119" s="4" t="n">
        <v>2047</v>
      </c>
      <c r="AW119" s="4" t="n">
        <v>0</v>
      </c>
      <c r="AX119" s="4" t="n">
        <v>400</v>
      </c>
      <c r="AY119" s="4" t="n">
        <v>0</v>
      </c>
      <c r="BB119" s="4" t="n">
        <v>2047</v>
      </c>
      <c r="BC119" s="4" t="n">
        <v>0</v>
      </c>
      <c r="BD119" s="4" t="n">
        <v>100</v>
      </c>
      <c r="BE119" s="4" t="n">
        <v>0</v>
      </c>
      <c r="BH119" s="4" t="n">
        <v>420</v>
      </c>
      <c r="BI119" s="4" t="n">
        <v>0</v>
      </c>
      <c r="BN119" s="4" t="n">
        <v>0.5</v>
      </c>
      <c r="BO119" s="4" t="n">
        <v>-3</v>
      </c>
      <c r="BP119" s="4" t="n">
        <v>14.6499996185303</v>
      </c>
      <c r="BQ119" s="4" t="n">
        <v>60</v>
      </c>
      <c r="BR119" s="4" t="n">
        <v>13.1999998092651</v>
      </c>
      <c r="BV119" s="4" t="n">
        <v>1</v>
      </c>
      <c r="BW119" s="4" t="s">
        <v>334</v>
      </c>
      <c r="BX119" s="4" t="n">
        <v>60</v>
      </c>
      <c r="BY119" s="4" t="s">
        <v>332</v>
      </c>
      <c r="BZ119" s="4" t="s">
        <v>332</v>
      </c>
      <c r="CA119" s="4" t="s">
        <v>332</v>
      </c>
      <c r="CB119" s="4" t="s">
        <v>333</v>
      </c>
      <c r="CC119" s="4" t="s">
        <v>332</v>
      </c>
      <c r="CD119" s="4" t="s">
        <v>332</v>
      </c>
      <c r="CE119" s="4" t="s">
        <v>333</v>
      </c>
      <c r="CF119" s="4" t="s">
        <v>333</v>
      </c>
      <c r="CK119" s="169" t="n">
        <v>44891.3574884259</v>
      </c>
      <c r="CL119" s="169" t="n">
        <v>44891.3574884259</v>
      </c>
      <c r="CQ119" s="4" t="n">
        <v>1033.14502380188</v>
      </c>
      <c r="CR119" s="4" t="n">
        <v>1.29999995231628</v>
      </c>
      <c r="CS119" s="21" t="n">
        <v>0.0102679999545217</v>
      </c>
      <c r="CT119" s="4" t="n">
        <v>0.578293058627923</v>
      </c>
      <c r="CV119" s="169" t="n">
        <v>45078</v>
      </c>
      <c r="CW119" s="4" t="s">
        <v>325</v>
      </c>
      <c r="DF119" s="4" t="n">
        <v>0.0479830404687859</v>
      </c>
      <c r="DG119" s="4" t="n">
        <v>1.01775534871719</v>
      </c>
      <c r="DH119" s="4" t="n">
        <v>95.1666524238812</v>
      </c>
      <c r="DI119" s="4" t="n">
        <v>3.6684882196625</v>
      </c>
      <c r="DJ119" s="4" t="n">
        <v>0.0978667168075088</v>
      </c>
      <c r="DK119" s="4" t="n">
        <v>0.000669719154865331</v>
      </c>
      <c r="DL119" s="4" t="n">
        <v>0.000583326904079348</v>
      </c>
      <c r="DM119" s="21" t="n">
        <v>7.48022352751502E-007</v>
      </c>
      <c r="DN119" s="21" t="n">
        <v>2.99208924779664E-007</v>
      </c>
      <c r="DO119" s="4" t="n">
        <v>0</v>
      </c>
      <c r="DQ119" s="4" t="n">
        <v>0</v>
      </c>
      <c r="DR119" s="4" t="n">
        <v>0</v>
      </c>
      <c r="EQ119" s="4" t="s">
        <v>335</v>
      </c>
      <c r="FR119" s="4" t="s">
        <v>389</v>
      </c>
    </row>
    <row r="120" customFormat="false" ht="15.75" hidden="false" customHeight="true" outlineLevel="0" collapsed="false">
      <c r="A120" s="169" t="n">
        <v>45047.375</v>
      </c>
      <c r="B120" s="169" t="n">
        <v>45078.375</v>
      </c>
      <c r="C120" s="4" t="s">
        <v>116</v>
      </c>
      <c r="D120" s="4" t="s">
        <v>117</v>
      </c>
      <c r="E120" s="4" t="n">
        <v>270625.57</v>
      </c>
      <c r="F120" s="4" t="n">
        <v>338281.96</v>
      </c>
      <c r="G120" s="4" t="n">
        <v>138.911140239904</v>
      </c>
      <c r="I120" s="4" t="n">
        <v>1041.90986910223</v>
      </c>
      <c r="J120" s="4" t="n">
        <v>111.845480905503</v>
      </c>
      <c r="K120" s="4" t="n">
        <v>43816.6333333333</v>
      </c>
      <c r="L120" s="4" t="n">
        <v>15.5795922201398</v>
      </c>
      <c r="N120" s="4" t="n">
        <v>1.09745674602461</v>
      </c>
      <c r="P120" s="4" t="s">
        <v>324</v>
      </c>
      <c r="Q120" s="4" t="s">
        <v>325</v>
      </c>
      <c r="T120" s="4" t="s">
        <v>326</v>
      </c>
      <c r="U120" s="4" t="s">
        <v>116</v>
      </c>
      <c r="V120" s="170" t="n">
        <v>43782</v>
      </c>
      <c r="W120" s="4" t="n">
        <v>1</v>
      </c>
      <c r="X120" s="4" t="n">
        <v>9</v>
      </c>
      <c r="AA120" s="4" t="n">
        <v>2</v>
      </c>
      <c r="AB120" s="4" t="n">
        <v>68</v>
      </c>
      <c r="AC120" s="4" t="s">
        <v>327</v>
      </c>
      <c r="AD120" s="4" t="n">
        <v>6.06500005722046</v>
      </c>
      <c r="AE120" s="4" t="n">
        <v>68</v>
      </c>
      <c r="AF120" s="4" t="s">
        <v>328</v>
      </c>
      <c r="AG120" s="4" t="s">
        <v>329</v>
      </c>
      <c r="AH120" s="4" t="s">
        <v>330</v>
      </c>
      <c r="AI120" s="4" t="s">
        <v>331</v>
      </c>
      <c r="AR120" s="4" t="s">
        <v>332</v>
      </c>
      <c r="AS120" s="4" t="s">
        <v>332</v>
      </c>
      <c r="AT120" s="4" t="s">
        <v>332</v>
      </c>
      <c r="AU120" s="4" t="s">
        <v>333</v>
      </c>
      <c r="AV120" s="4" t="n">
        <v>2047</v>
      </c>
      <c r="AW120" s="4" t="n">
        <v>0</v>
      </c>
      <c r="AX120" s="4" t="n">
        <v>400</v>
      </c>
      <c r="AY120" s="4" t="n">
        <v>0</v>
      </c>
      <c r="BB120" s="4" t="n">
        <v>2047</v>
      </c>
      <c r="BC120" s="4" t="n">
        <v>0</v>
      </c>
      <c r="BD120" s="4" t="n">
        <v>100</v>
      </c>
      <c r="BE120" s="4" t="n">
        <v>0</v>
      </c>
      <c r="BH120" s="4" t="n">
        <v>420</v>
      </c>
      <c r="BI120" s="4" t="n">
        <v>0</v>
      </c>
      <c r="BN120" s="4" t="n">
        <v>0.5</v>
      </c>
      <c r="BO120" s="4" t="n">
        <v>-3</v>
      </c>
      <c r="BP120" s="4" t="n">
        <v>14.6499996185303</v>
      </c>
      <c r="BQ120" s="4" t="n">
        <v>60</v>
      </c>
      <c r="BR120" s="4" t="n">
        <v>13.1999998092651</v>
      </c>
      <c r="BV120" s="4" t="n">
        <v>1</v>
      </c>
      <c r="BW120" s="4" t="s">
        <v>334</v>
      </c>
      <c r="BX120" s="4" t="n">
        <v>60</v>
      </c>
      <c r="BY120" s="4" t="s">
        <v>332</v>
      </c>
      <c r="BZ120" s="4" t="s">
        <v>332</v>
      </c>
      <c r="CA120" s="4" t="s">
        <v>332</v>
      </c>
      <c r="CB120" s="4" t="s">
        <v>333</v>
      </c>
      <c r="CC120" s="4" t="s">
        <v>332</v>
      </c>
      <c r="CD120" s="4" t="s">
        <v>332</v>
      </c>
      <c r="CE120" s="4" t="s">
        <v>332</v>
      </c>
      <c r="CF120" s="4" t="s">
        <v>333</v>
      </c>
      <c r="CK120" s="169" t="n">
        <v>44893.6579398148</v>
      </c>
      <c r="CL120" s="169" t="n">
        <v>44893.6579398148</v>
      </c>
      <c r="CQ120" s="4" t="n">
        <v>1250</v>
      </c>
      <c r="CR120" s="4" t="n">
        <v>1.3</v>
      </c>
      <c r="CS120" s="21" t="n">
        <v>6.9E-006</v>
      </c>
      <c r="CT120" s="4" t="n">
        <v>0.7231</v>
      </c>
      <c r="CU120" s="4" t="s">
        <v>334</v>
      </c>
      <c r="CV120" s="169" t="n">
        <v>45066</v>
      </c>
      <c r="CW120" s="4" t="s">
        <v>327</v>
      </c>
      <c r="CX120" s="4" t="s">
        <v>340</v>
      </c>
      <c r="CY120" s="4" t="n">
        <v>105</v>
      </c>
      <c r="CZ120" s="4" t="n">
        <v>1000</v>
      </c>
      <c r="DB120" s="4" t="s">
        <v>363</v>
      </c>
      <c r="DC120" s="4" t="s">
        <v>568</v>
      </c>
      <c r="DD120" s="4" t="s">
        <v>360</v>
      </c>
      <c r="DF120" s="4" t="n">
        <v>0.103</v>
      </c>
      <c r="DG120" s="4" t="n">
        <v>1.094</v>
      </c>
      <c r="DH120" s="4" t="n">
        <v>79.774</v>
      </c>
      <c r="DI120" s="4" t="n">
        <v>10.653</v>
      </c>
      <c r="DJ120" s="4" t="n">
        <v>4.645</v>
      </c>
      <c r="DK120" s="4" t="n">
        <v>0.751</v>
      </c>
      <c r="DL120" s="4" t="n">
        <v>1.563</v>
      </c>
      <c r="DM120" s="4" t="n">
        <v>0.445</v>
      </c>
      <c r="DN120" s="4" t="n">
        <v>0.456</v>
      </c>
      <c r="DO120" s="4" t="n">
        <v>0.516</v>
      </c>
      <c r="EJ120" s="4" t="s">
        <v>117</v>
      </c>
      <c r="EQ120" s="4" t="s">
        <v>335</v>
      </c>
      <c r="FR120" s="4" t="s">
        <v>495</v>
      </c>
    </row>
    <row r="121" customFormat="false" ht="15.75" hidden="false" customHeight="true" outlineLevel="0" collapsed="false">
      <c r="A121" s="169" t="n">
        <v>45047.375</v>
      </c>
      <c r="B121" s="169" t="n">
        <v>45078.375</v>
      </c>
      <c r="C121" s="4" t="s">
        <v>569</v>
      </c>
      <c r="D121" s="4" t="s">
        <v>570</v>
      </c>
      <c r="E121" s="4" t="n">
        <v>-294086.26</v>
      </c>
      <c r="F121" s="4" t="n">
        <v>-298115.24</v>
      </c>
      <c r="G121" s="4" t="n">
        <v>104.289102893463</v>
      </c>
      <c r="I121" s="4" t="n">
        <v>201.273416602033</v>
      </c>
      <c r="J121" s="4" t="n">
        <v>81.8603988573354</v>
      </c>
      <c r="K121" s="4" t="n">
        <v>44640</v>
      </c>
      <c r="N121" s="4" t="n">
        <v>1.01108452583688</v>
      </c>
      <c r="Q121" s="4" t="s">
        <v>335</v>
      </c>
      <c r="T121" s="4" t="s">
        <v>571</v>
      </c>
      <c r="V121" s="170" t="n">
        <v>43971</v>
      </c>
      <c r="X121" s="4" t="n">
        <v>9</v>
      </c>
      <c r="CQ121" s="4" t="n">
        <v>1012.15723869673</v>
      </c>
      <c r="CR121" s="4" t="n">
        <v>1.3</v>
      </c>
      <c r="CS121" s="21" t="n">
        <v>6.9E-006</v>
      </c>
      <c r="CT121" s="4" t="n">
        <v>0.571020362185401</v>
      </c>
      <c r="CV121" s="169" t="n">
        <v>45048</v>
      </c>
      <c r="CY121" s="4" t="n">
        <v>84.89598623527</v>
      </c>
      <c r="CZ121" s="4" t="n">
        <v>201.286705842421</v>
      </c>
      <c r="DF121" s="4" t="n">
        <v>0.171152460399211</v>
      </c>
      <c r="DG121" s="4" t="n">
        <v>1.30153152472313</v>
      </c>
      <c r="DH121" s="4" t="n">
        <v>96.6818840468448</v>
      </c>
      <c r="DI121" s="4" t="n">
        <v>1.82459852439613</v>
      </c>
      <c r="DJ121" s="4" t="n">
        <v>0.149065920427107</v>
      </c>
      <c r="DK121" s="4" t="n">
        <v>0.00920779990089266</v>
      </c>
      <c r="DL121" s="4" t="n">
        <v>0.0133740398216068</v>
      </c>
    </row>
    <row r="122" customFormat="false" ht="15.75" hidden="false" customHeight="true" outlineLevel="0" collapsed="false">
      <c r="A122" s="169" t="n">
        <v>45047.375</v>
      </c>
      <c r="B122" s="169" t="n">
        <v>45078.375</v>
      </c>
      <c r="C122" s="4" t="s">
        <v>572</v>
      </c>
      <c r="D122" s="4" t="s">
        <v>573</v>
      </c>
      <c r="E122" s="4" t="n">
        <v>14056.53</v>
      </c>
      <c r="F122" s="4" t="n">
        <v>14112.76</v>
      </c>
      <c r="G122" s="4" t="n">
        <v>37.7927730037449</v>
      </c>
      <c r="I122" s="4" t="n">
        <v>197.180525473108</v>
      </c>
      <c r="J122" s="4" t="n">
        <v>78.2237987838409</v>
      </c>
      <c r="K122" s="4" t="n">
        <v>44515.6333333333</v>
      </c>
      <c r="N122" s="4" t="n">
        <v>1.01084976570247</v>
      </c>
      <c r="Q122" s="4" t="s">
        <v>335</v>
      </c>
      <c r="T122" s="4" t="s">
        <v>571</v>
      </c>
      <c r="V122" s="170" t="n">
        <v>43971</v>
      </c>
      <c r="X122" s="4" t="n">
        <v>9</v>
      </c>
      <c r="CQ122" s="4" t="n">
        <v>1004</v>
      </c>
      <c r="CR122" s="4" t="n">
        <v>1.3</v>
      </c>
      <c r="CS122" s="21" t="n">
        <v>6.9E-006</v>
      </c>
      <c r="CT122" s="4" t="n">
        <v>0.5635</v>
      </c>
      <c r="CV122" s="169" t="n">
        <v>45048</v>
      </c>
      <c r="CY122" s="4" t="n">
        <v>95</v>
      </c>
      <c r="CZ122" s="4" t="n">
        <v>203</v>
      </c>
      <c r="DF122" s="4" t="n">
        <v>0</v>
      </c>
      <c r="DG122" s="4" t="n">
        <v>1.099</v>
      </c>
      <c r="DH122" s="4" t="n">
        <v>98.081</v>
      </c>
      <c r="DI122" s="4" t="n">
        <v>0.775</v>
      </c>
      <c r="DJ122" s="4" t="n">
        <v>0.045</v>
      </c>
      <c r="DK122" s="4" t="n">
        <v>0</v>
      </c>
      <c r="DL122" s="4" t="n">
        <v>0</v>
      </c>
      <c r="DM122" s="4" t="n">
        <v>0</v>
      </c>
      <c r="DN122" s="4" t="n">
        <v>0</v>
      </c>
      <c r="DO122" s="4" t="n">
        <v>0</v>
      </c>
      <c r="DQ122" s="4" t="n">
        <v>0</v>
      </c>
      <c r="DR122" s="4" t="n">
        <v>0</v>
      </c>
      <c r="DS122" s="4" t="n">
        <v>0</v>
      </c>
      <c r="DT122" s="4" t="n">
        <v>0</v>
      </c>
      <c r="DU122" s="4" t="n">
        <v>0</v>
      </c>
      <c r="DV122" s="4" t="n">
        <v>0</v>
      </c>
      <c r="DW122" s="4" t="n">
        <v>0</v>
      </c>
      <c r="DX122" s="4" t="n">
        <v>0</v>
      </c>
      <c r="DY122" s="4" t="n">
        <v>0</v>
      </c>
      <c r="DZ122" s="4" t="n">
        <v>0</v>
      </c>
      <c r="EA122" s="4" t="n">
        <v>0</v>
      </c>
    </row>
    <row r="123" customFormat="false" ht="15.75" hidden="false" customHeight="true" outlineLevel="0" collapsed="false">
      <c r="A123" s="169" t="n">
        <v>45047.375</v>
      </c>
      <c r="B123" s="169" t="n">
        <v>45078.375</v>
      </c>
      <c r="C123" s="4" t="s">
        <v>574</v>
      </c>
      <c r="D123" s="4" t="s">
        <v>575</v>
      </c>
      <c r="E123" s="4" t="n">
        <v>280029.73</v>
      </c>
      <c r="F123" s="4" t="n">
        <v>284002.48</v>
      </c>
      <c r="G123" s="4" t="n">
        <v>101.252580985864</v>
      </c>
      <c r="I123" s="4" t="n">
        <v>201.025539957644</v>
      </c>
      <c r="J123" s="4" t="n">
        <v>81.7343525949249</v>
      </c>
      <c r="K123" s="4" t="n">
        <v>44640</v>
      </c>
      <c r="N123" s="4" t="n">
        <v>1.01106805348617</v>
      </c>
      <c r="Q123" s="4" t="s">
        <v>335</v>
      </c>
      <c r="T123" s="4" t="s">
        <v>571</v>
      </c>
      <c r="V123" s="170" t="n">
        <v>43971</v>
      </c>
      <c r="X123" s="4" t="n">
        <v>9</v>
      </c>
      <c r="CQ123" s="4" t="n">
        <v>1012.67409114138</v>
      </c>
      <c r="CR123" s="4" t="n">
        <v>1.3</v>
      </c>
      <c r="CS123" s="21" t="n">
        <v>6.9E-006</v>
      </c>
      <c r="CT123" s="4" t="n">
        <v>0.571496861369089</v>
      </c>
      <c r="CV123" s="169" t="n">
        <v>45048</v>
      </c>
      <c r="CY123" s="4" t="n">
        <v>84.2557837832907</v>
      </c>
      <c r="CZ123" s="4" t="n">
        <v>201.178149466095</v>
      </c>
      <c r="DF123" s="4" t="n">
        <v>0.181996885927643</v>
      </c>
      <c r="DG123" s="4" t="n">
        <v>1.31436416546868</v>
      </c>
      <c r="DH123" s="4" t="n">
        <v>96.5932343790326</v>
      </c>
      <c r="DI123" s="4" t="n">
        <v>1.89110234798135</v>
      </c>
      <c r="DJ123" s="4" t="n">
        <v>0.155659662179268</v>
      </c>
      <c r="DK123" s="4" t="n">
        <v>0.00979121716566949</v>
      </c>
      <c r="DL123" s="4" t="n">
        <v>0.0142214350534451</v>
      </c>
      <c r="DM123" s="4" t="n">
        <v>0</v>
      </c>
      <c r="DN123" s="4" t="n">
        <v>0</v>
      </c>
      <c r="DO123" s="4" t="n">
        <v>0</v>
      </c>
      <c r="DQ123" s="4" t="n">
        <v>0</v>
      </c>
      <c r="DR123" s="4" t="n">
        <v>0</v>
      </c>
      <c r="DS123" s="4" t="n">
        <v>0</v>
      </c>
      <c r="DT123" s="4" t="n">
        <v>0</v>
      </c>
      <c r="DU123" s="4" t="n">
        <v>0</v>
      </c>
      <c r="DV123" s="4" t="n">
        <v>0</v>
      </c>
      <c r="DW123" s="4" t="n">
        <v>0</v>
      </c>
      <c r="DX123" s="4" t="n">
        <v>0</v>
      </c>
      <c r="DY123" s="4" t="n">
        <v>0</v>
      </c>
      <c r="DZ123" s="4" t="n">
        <v>0</v>
      </c>
      <c r="EA123" s="4" t="n">
        <v>0</v>
      </c>
    </row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2023-01-24T12:17:27Z</dcterms:created>
  <dc:creator>Home Office</dc:creator>
  <dc:description/>
  <dc:language>en-US</dc:language>
  <cp:lastModifiedBy/>
  <dcterms:modified xsi:type="dcterms:W3CDTF">2023-09-13T13:39:04Z</dcterms:modified>
  <cp:revision>3</cp:revision>
  <dc:subject/>
  <dc:title/>
</cp:coreProperties>
</file>